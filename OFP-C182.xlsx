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olema\Documents\"/>
    </mc:Choice>
  </mc:AlternateContent>
  <xr:revisionPtr revIDLastSave="0" documentId="8_{19BBE739-0E65-40BD-9F07-2FF647D6416C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OFP" sheetId="1" r:id="rId1"/>
    <sheet name="Performance" sheetId="3" r:id="rId2"/>
    <sheet name="NavData" sheetId="4" r:id="rId3"/>
    <sheet name="AC REG" sheetId="2" r:id="rId4"/>
  </sheets>
  <definedNames>
    <definedName name="_xlnm._FilterDatabase" localSheetId="3" hidden="1">'AC REG'!$A$2:$C$7</definedName>
    <definedName name="CALC_LDG">_xlfn.LAMBDA(_xlpm.TargetPA,_xlpm.TargetT, _xlfn.LET(_xlpm.RngP, Performance!$F$2:$F$100, _xlpm.RngT, Performance!$G$2:$G$100, _xlpm.RngD, Performance!$H$2:$H$100, _xlpm.PaL, MAX(_xlfn._xlws.FILTER(_xlpm.RngP, _xlpm.RngP&lt;=_xlpm.TargetPA, 0)), _xlpm.PaH, MIN(_xlfn._xlws.FILTER(_xlpm.RngP, _xlpm.RngP&gt;=_xlpm.TargetPA, 8000)), _xlpm.TpL, MAX(_xlfn._xlws.FILTER(_xlpm.RngT, _xlpm.RngT&lt;=_xlpm.TargetT, 0)), _xlpm.TpH, MIN(_xlfn._xlws.FILTER(_xlpm.RngT, _xlpm.RngT&gt;=_xlpm.TargetT, 40)), _xlpm.GetD, _xlfn.LAMBDA(_xlpm.p,_xlpm.t, MAX(_xlfn._xlws.FILTER(_xlpm.RngD, (_xlpm.RngP=_xlpm.p)*(_xlpm.RngT=_xlpm.t), 0))), _xlpm.D_PaL_TpL, _xlpm.GetD(_xlpm.PaL, _xlpm.TpL), _xlpm.D_PaL_TpH, _xlpm.GetD(_xlpm.PaL, _xlpm.TpH), _xlpm.D_PaH_TpL, _xlpm.GetD(_xlpm.PaH, _xlpm.TpL), _xlpm.D_PaH_TpH, _xlpm.GetD(_xlpm.PaH, _xlpm.TpH), _xlpm.FracP, IF(_xlpm.PaH=_xlpm.PaL, 0, (_xlpm.TargetPA-_xlpm.PaL)/(_xlpm.PaH-_xlpm.PaL)), _xlpm.FracT, IF(_xlpm.TpH=_xlpm.TpL, 0, (_xlpm.TargetT-_xlpm.TpL)/(_xlpm.TpH-_xlpm.TpL)), _xlpm.Int_PaL, _xlpm.D_PaL_TpL + _xlpm.FracT*(_xlpm.D_PaL_TpH - _xlpm.D_PaL_TpL), _xlpm.Int_PaH, _xlpm.D_PaH_TpL + _xlpm.FracT*(_xlpm.D_PaH_TpH - _xlpm.D_PaH_TpL), ROUND(_xlpm.Int_PaL + _xlpm.FracP*(_xlpm.Int_PaH - _xlpm.Int_PaL), 0)))</definedName>
    <definedName name="CALC_TOD">_xlfn.LAMBDA(_xlpm.TargetW,_xlpm.TargetPA,_xlpm.TargetT, _xlfn.LET(_xlpm.RngW, Performance!$A$2:$A$300, _xlpm.RngP, Performance!$B$2:$B$300, _xlpm.RngT, Performance!$C$2:$C$300, _xlpm.RngD, Performance!$D$2:$D$300, _xlpm.WtL, MAX(_xlfn._xlws.FILTER(_xlpm.RngW, _xlpm.RngW&lt;=_xlpm.TargetW, 2300)), _xlpm.WtH, MIN(_xlfn._xlws.FILTER(_xlpm.RngW, _xlpm.RngW&gt;=_xlpm.TargetW, 3100)), _xlpm.PaL, MAX(_xlfn._xlws.FILTER(_xlpm.RngP, _xlpm.RngP&lt;=_xlpm.TargetPA, 0)), _xlpm.PaH, MIN(_xlfn._xlws.FILTER(_xlpm.RngP, _xlpm.RngP&gt;=_xlpm.TargetPA, 8000)), _xlpm.TpL, MAX(_xlfn._xlws.FILTER(_xlpm.RngT, _xlpm.RngT&lt;=_xlpm.TargetT, 0)), _xlpm.TpH, MIN(_xlfn._xlws.FILTER(_xlpm.RngT, _xlpm.RngT&gt;=_xlpm.TargetT, 40)), _xlpm.GetD, _xlfn.LAMBDA(_xlpm.w,_xlpm.p,_xlpm.t, MAX(_xlfn._xlws.FILTER(_xlpm.RngD, (_xlpm.RngW=_xlpm.w)*(_xlpm.RngP=_xlpm.p)*(_xlpm.RngT=_xlpm.t), 0))), _xlpm.D_WtL_PaL_TpL, _xlpm.GetD(_xlpm.WtL, _xlpm.PaL, _xlpm.TpL), _xlpm.D_WtL_PaL_TpH, _xlpm.GetD(_xlpm.WtL, _xlpm.PaL, _xlpm.TpH), _xlpm.D_WtL_PaH_TpL, _xlpm.GetD(_xlpm.WtL, _xlpm.PaH, _xlpm.TpL), _xlpm.D_WtL_PaH_TpH, _xlpm.GetD(_xlpm.WtL, _xlpm.PaH, _xlpm.TpH), _xlpm.D_WtH_PaL_TpL, _xlpm.GetD(_xlpm.WtH, _xlpm.PaL, _xlpm.TpL), _xlpm.D_WtH_PaL_TpH, _xlpm.GetD(_xlpm.WtH, _xlpm.PaL, _xlpm.TpH), _xlpm.D_WtH_PaH_TpL, _xlpm.GetD(_xlpm.WtH, _xlpm.PaH, _xlpm.TpL), _xlpm.D_WtH_PaH_TpH, _xlpm.GetD(_xlpm.WtH, _xlpm.PaH, _xlpm.TpH), _xlpm.FracW, IF(_xlpm.WtH=_xlpm.WtL, 0, (_xlpm.TargetW-_xlpm.WtL)/(_xlpm.WtH-_xlpm.WtL)), _xlpm.FracP, IF(_xlpm.PaH=_xlpm.PaL, 0, (_xlpm.TargetPA-_xlpm.PaL)/(_xlpm.PaH-_xlpm.PaL)), _xlpm.FracT, IF(_xlpm.TpH=_xlpm.TpL, 0, (_xlpm.TargetT-_xlpm.TpL)/(_xlpm.TpH-_xlpm.TpL)), _xlpm.Int_WtL_PaL, _xlpm.D_WtL_PaL_TpL + _xlpm.FracT*(_xlpm.D_WtL_PaL_TpH - _xlpm.D_WtL_PaL_TpL), _xlpm.Int_WtL_PaH, _xlpm.D_WtL_PaH_TpL + _xlpm.FracT*(_xlpm.D_WtL_PaH_TpH - _xlpm.D_WtL_PaH_TpL), _xlpm.Int_WtH_PaL, _xlpm.D_WtH_PaL_TpL + _xlpm.FracT*(_xlpm.D_WtH_PaL_TpH - _xlpm.D_WtH_PaL_TpL), _xlpm.Int_WtH_PaH, _xlpm.D_WtH_PaH_TpL + _xlpm.FracT*(_xlpm.D_WtH_PaH_TpH - _xlpm.D_WtH_PaH_TpL), _xlpm.Int_WtL, _xlpm.Int_WtL_PaL + _xlpm.FracP*(_xlpm.Int_WtL_PaH - _xlpm.Int_WtL_PaL), _xlpm.Int_WtH, _xlpm.Int_WtH_PaL + _xlpm.FracP*(_xlpm.Int_WtH_PaH - _xlpm.Int_WtH_PaL), ROUND(_xlpm.Int_WtL + _xlpm.FracW*(_xlpm.Int_WtH - _xlpm.Int_WtL), 0)))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J21" i="1" l="1"/>
  <c r="N20" i="1" s="1"/>
  <c r="O4" i="1"/>
  <c r="O7" i="1" s="1"/>
  <c r="D9" i="1"/>
  <c r="G9" i="1" s="1"/>
  <c r="N17" i="1"/>
  <c r="N4" i="1"/>
  <c r="V32" i="1"/>
  <c r="O32" i="1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3" i="4"/>
  <c r="U2" i="4"/>
  <c r="K18" i="1" a="1"/>
  <c r="K18" i="1" s="1"/>
  <c r="D3" i="1"/>
  <c r="N8" i="1"/>
  <c r="D7" i="1" s="1"/>
  <c r="G7" i="1" s="1"/>
  <c r="Z1" i="1" a="1"/>
  <c r="Z1" i="1" s="1"/>
  <c r="I33" i="4"/>
  <c r="J33" i="4"/>
  <c r="I34" i="4"/>
  <c r="J34" i="4"/>
  <c r="I35" i="4"/>
  <c r="J35" i="4"/>
  <c r="I36" i="4"/>
  <c r="J36" i="4"/>
  <c r="I37" i="4"/>
  <c r="J37" i="4"/>
  <c r="I38" i="4"/>
  <c r="J38" i="4"/>
  <c r="I39" i="4"/>
  <c r="J39" i="4"/>
  <c r="I40" i="4"/>
  <c r="J40" i="4"/>
  <c r="I41" i="4"/>
  <c r="J41" i="4"/>
  <c r="I42" i="4"/>
  <c r="J42" i="4"/>
  <c r="I43" i="4"/>
  <c r="J43" i="4"/>
  <c r="I44" i="4"/>
  <c r="J44" i="4"/>
  <c r="I45" i="4"/>
  <c r="J45" i="4"/>
  <c r="I46" i="4"/>
  <c r="J46" i="4"/>
  <c r="I47" i="4"/>
  <c r="J47" i="4"/>
  <c r="I48" i="4"/>
  <c r="J48" i="4"/>
  <c r="I49" i="4"/>
  <c r="J49" i="4"/>
  <c r="I50" i="4"/>
  <c r="J50" i="4"/>
  <c r="I51" i="4"/>
  <c r="J51" i="4"/>
  <c r="I52" i="4"/>
  <c r="J52" i="4"/>
  <c r="I53" i="4"/>
  <c r="J53" i="4"/>
  <c r="I54" i="4"/>
  <c r="J54" i="4"/>
  <c r="J32" i="4"/>
  <c r="I32" i="4"/>
  <c r="E3" i="4"/>
  <c r="F3" i="4"/>
  <c r="E4" i="4"/>
  <c r="F4" i="4"/>
  <c r="E5" i="4"/>
  <c r="F5" i="4"/>
  <c r="E6" i="4"/>
  <c r="F6" i="4"/>
  <c r="E7" i="4"/>
  <c r="F7" i="4"/>
  <c r="E8" i="4"/>
  <c r="F8" i="4"/>
  <c r="E9" i="4"/>
  <c r="F9" i="4"/>
  <c r="E10" i="4"/>
  <c r="F10" i="4"/>
  <c r="E11" i="4"/>
  <c r="F11" i="4"/>
  <c r="E12" i="4"/>
  <c r="F12" i="4"/>
  <c r="E13" i="4"/>
  <c r="F13" i="4"/>
  <c r="E14" i="4"/>
  <c r="F14" i="4"/>
  <c r="E15" i="4"/>
  <c r="F15" i="4"/>
  <c r="E16" i="4"/>
  <c r="F16" i="4"/>
  <c r="E17" i="4"/>
  <c r="F17" i="4"/>
  <c r="E18" i="4"/>
  <c r="F18" i="4"/>
  <c r="E19" i="4"/>
  <c r="F19" i="4"/>
  <c r="E20" i="4"/>
  <c r="F20" i="4"/>
  <c r="E21" i="4"/>
  <c r="F21" i="4"/>
  <c r="E22" i="4"/>
  <c r="F22" i="4"/>
  <c r="E23" i="4"/>
  <c r="F23" i="4"/>
  <c r="E24" i="4"/>
  <c r="F24" i="4"/>
  <c r="E25" i="4"/>
  <c r="F25" i="4"/>
  <c r="E26" i="4"/>
  <c r="F26" i="4"/>
  <c r="E27" i="4"/>
  <c r="F27" i="4"/>
  <c r="E28" i="4"/>
  <c r="F28" i="4"/>
  <c r="E29" i="4"/>
  <c r="F29" i="4"/>
  <c r="E30" i="4"/>
  <c r="F30" i="4"/>
  <c r="E31" i="4"/>
  <c r="F31" i="4"/>
  <c r="E32" i="4"/>
  <c r="F32" i="4"/>
  <c r="E33" i="4"/>
  <c r="F33" i="4"/>
  <c r="E34" i="4"/>
  <c r="F34" i="4"/>
  <c r="E35" i="4"/>
  <c r="F35" i="4"/>
  <c r="E36" i="4"/>
  <c r="F36" i="4"/>
  <c r="E37" i="4"/>
  <c r="F37" i="4"/>
  <c r="E38" i="4"/>
  <c r="F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E48" i="4"/>
  <c r="F48" i="4"/>
  <c r="E49" i="4"/>
  <c r="F49" i="4"/>
  <c r="E50" i="4"/>
  <c r="F50" i="4"/>
  <c r="E51" i="4"/>
  <c r="F51" i="4"/>
  <c r="E52" i="4"/>
  <c r="F52" i="4"/>
  <c r="E53" i="4"/>
  <c r="F53" i="4"/>
  <c r="E54" i="4"/>
  <c r="F54" i="4"/>
  <c r="F2" i="4"/>
  <c r="E2" i="4"/>
  <c r="M3" i="1"/>
  <c r="N3" i="1" s="1"/>
  <c r="D12" i="1" s="1"/>
  <c r="G12" i="1" s="1"/>
  <c r="O9" i="1"/>
  <c r="M6" i="1"/>
  <c r="N6" i="1" s="1"/>
  <c r="G3" i="1"/>
  <c r="G4" i="1"/>
  <c r="G5" i="1"/>
  <c r="G6" i="1"/>
  <c r="G8" i="1"/>
  <c r="G10" i="1"/>
  <c r="K19" i="1" l="1"/>
  <c r="L19" i="1"/>
  <c r="M7" i="1"/>
  <c r="N7" i="1" s="1"/>
  <c r="G11" i="1"/>
  <c r="G15" i="1" s="1"/>
  <c r="D11" i="1"/>
  <c r="N13" i="1" s="1"/>
  <c r="K20" i="1"/>
  <c r="P18" i="1" s="1"/>
  <c r="E3" i="1"/>
  <c r="N19" i="1" l="1"/>
  <c r="R25" i="1" s="1"/>
  <c r="N18" i="1"/>
  <c r="O24" i="1" a="1"/>
  <c r="O24" i="1" s="1"/>
  <c r="P19" i="1"/>
  <c r="V24" i="1" a="1"/>
  <c r="V24" i="1" s="1"/>
  <c r="D14" i="1"/>
  <c r="S11" i="1" s="1"/>
  <c r="D15" i="1"/>
  <c r="E15" i="1" s="1"/>
  <c r="S12" i="1"/>
  <c r="E11" i="1"/>
  <c r="G14" i="1"/>
  <c r="K25" i="1"/>
  <c r="O25" i="1" l="1"/>
  <c r="O26" i="1" s="1" a="1"/>
  <c r="O26" i="1" s="1"/>
  <c r="O30" i="1" s="1"/>
  <c r="O31" i="1" s="1"/>
  <c r="E14" i="1"/>
  <c r="V25" i="1"/>
  <c r="V26" i="1" s="1" a="1"/>
  <c r="V26" i="1" s="1"/>
  <c r="V30" i="1" s="1"/>
  <c r="V3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<sst xmlns="http://schemas.openxmlformats.org/spreadsheetml/2006/main" count="381" uniqueCount="209">
  <si>
    <t>Mass &amp; Balance</t>
  </si>
  <si>
    <t>FUEL REQUIREMENTS</t>
  </si>
  <si>
    <t>LN-TRB</t>
  </si>
  <si>
    <t>Weight (lbs)</t>
  </si>
  <si>
    <t>Arm Aft Datum (in)</t>
  </si>
  <si>
    <t>Moment (in-lbs)</t>
  </si>
  <si>
    <t>US Gallons</t>
  </si>
  <si>
    <t>Pounds(lbs)</t>
  </si>
  <si>
    <t>Time (hh:mm)</t>
  </si>
  <si>
    <t>Basic Empty Mass</t>
  </si>
  <si>
    <t>Trip fuel (incl 1,7 for startup,taxi..</t>
  </si>
  <si>
    <t>FUEL FLOW</t>
  </si>
  <si>
    <t>ikke rør</t>
  </si>
  <si>
    <t>Pilot - Left Seat</t>
  </si>
  <si>
    <t>Alternate Fuel</t>
  </si>
  <si>
    <t>Speeds</t>
  </si>
  <si>
    <t>Pilot or passenger - Right Seat</t>
  </si>
  <si>
    <t>Contingency Fuel</t>
  </si>
  <si>
    <t>Vx</t>
  </si>
  <si>
    <t>Rear passengers</t>
  </si>
  <si>
    <t>Final Reserve</t>
  </si>
  <si>
    <t>Vy</t>
  </si>
  <si>
    <t>Fuel</t>
  </si>
  <si>
    <t>Total Fuel Required</t>
  </si>
  <si>
    <t>Va      3100</t>
  </si>
  <si>
    <t>Baggage Area A</t>
  </si>
  <si>
    <t>Total Fuel Onboard</t>
  </si>
  <si>
    <t>Baggage Area B</t>
  </si>
  <si>
    <r>
      <t>Endurance(</t>
    </r>
    <r>
      <rPr>
        <sz val="11"/>
        <color theme="1"/>
        <rFont val="Aptos Narrow"/>
        <family val="2"/>
        <scheme val="minor"/>
      </rPr>
      <t>incl final reserve)</t>
    </r>
  </si>
  <si>
    <t>-----------&gt;</t>
  </si>
  <si>
    <t>Baggage Area C</t>
  </si>
  <si>
    <t>Vno</t>
  </si>
  <si>
    <t>Total Takeoff Mass</t>
  </si>
  <si>
    <t>Approach</t>
  </si>
  <si>
    <t xml:space="preserve">Va  </t>
  </si>
  <si>
    <t>Enroute Fuel Consumed</t>
  </si>
  <si>
    <t>Min FLT</t>
  </si>
  <si>
    <t>Vglide</t>
  </si>
  <si>
    <t>Last Minute Change</t>
  </si>
  <si>
    <t>Total Landing Mass</t>
  </si>
  <si>
    <t>Zero Fuel Mass</t>
  </si>
  <si>
    <t>trykk på tallet for å velge rwy</t>
  </si>
  <si>
    <t>skriv her</t>
  </si>
  <si>
    <t>DO NOT TOUCH CELLS WITH BLUE MARKINGS</t>
  </si>
  <si>
    <t>AERODROME</t>
  </si>
  <si>
    <t>ENDU</t>
  </si>
  <si>
    <t>MAN AERODROME OVERRIDE</t>
  </si>
  <si>
    <t>Use if METAR unavailable</t>
  </si>
  <si>
    <t>Ekstra baggasje kan plusses på i formellinjen over</t>
  </si>
  <si>
    <t>RWY</t>
  </si>
  <si>
    <t>Elevation</t>
  </si>
  <si>
    <t>Flaps</t>
  </si>
  <si>
    <r>
      <t>20</t>
    </r>
    <r>
      <rPr>
        <sz val="11"/>
        <color theme="1"/>
        <rFont val="Aptos Narrow"/>
        <family val="2"/>
      </rPr>
      <t>°</t>
    </r>
  </si>
  <si>
    <t>W/V</t>
  </si>
  <si>
    <t>Hvis formler blir overskrevet / ting blir ødelagt, last ned på nytt fra epost</t>
  </si>
  <si>
    <t>RWY HDG</t>
  </si>
  <si>
    <t>XWIND</t>
  </si>
  <si>
    <t>Press ALT</t>
  </si>
  <si>
    <t>QNH</t>
  </si>
  <si>
    <t>Hvis klokka er satt til AM/PM på enheten vil det vises i tidene</t>
  </si>
  <si>
    <t>WCOMP</t>
  </si>
  <si>
    <t>Dens ALT</t>
  </si>
  <si>
    <t>Temp.</t>
  </si>
  <si>
    <t>METAR kalkulasjoner fungerer kun på PC, autometar fungerer ikke</t>
  </si>
  <si>
    <t>Noe kan være unøyaktig, lurt å dobbeltsjekke</t>
  </si>
  <si>
    <t>Uncorrected take-off distance</t>
  </si>
  <si>
    <t>Uncorrected landing distance</t>
  </si>
  <si>
    <t>H-Wind</t>
  </si>
  <si>
    <t>Wind correction (no corr. Below 9 kts:</t>
  </si>
  <si>
    <t>Wind correction (acc. To POH)</t>
  </si>
  <si>
    <t>Brk action</t>
  </si>
  <si>
    <t>Correction</t>
  </si>
  <si>
    <t>Brk Action</t>
  </si>
  <si>
    <t>Fill out 
As 
Required</t>
  </si>
  <si>
    <t>Fill out 
As
Required</t>
  </si>
  <si>
    <t>Corrected take-off distance</t>
  </si>
  <si>
    <t>Corrected landing distance</t>
  </si>
  <si>
    <t>Performance factor</t>
  </si>
  <si>
    <t>Required take-off distance</t>
  </si>
  <si>
    <t>Required landing distance</t>
  </si>
  <si>
    <t>TODA</t>
  </si>
  <si>
    <t>LDA</t>
  </si>
  <si>
    <t>TO/LDG dist limitations:
Max pressure alt 5000ft
Max temp 40°C</t>
  </si>
  <si>
    <t>ZFM = Zero Fuel Mass</t>
  </si>
  <si>
    <t>Weight</t>
  </si>
  <si>
    <t>PA</t>
  </si>
  <si>
    <t>Temp</t>
  </si>
  <si>
    <t>Dist</t>
  </si>
  <si>
    <t>TEMP</t>
  </si>
  <si>
    <t>DIST</t>
  </si>
  <si>
    <t>standard</t>
  </si>
  <si>
    <t>ARM</t>
  </si>
  <si>
    <t>WEIGHT</t>
  </si>
  <si>
    <t>autopilot</t>
  </si>
  <si>
    <t>mlaw</t>
  </si>
  <si>
    <t>A (Registration)</t>
  </si>
  <si>
    <t>B (Weight)</t>
  </si>
  <si>
    <t>C (Moment)</t>
  </si>
  <si>
    <t>D (extra)</t>
  </si>
  <si>
    <t>LN-TRA</t>
  </si>
  <si>
    <t>LN-TRC</t>
  </si>
  <si>
    <t>LN-TRD</t>
  </si>
  <si>
    <t>LN-TRE</t>
  </si>
  <si>
    <t>ICAO</t>
  </si>
  <si>
    <t>AD ELEV</t>
  </si>
  <si>
    <t>RWY1</t>
  </si>
  <si>
    <t>HDG1</t>
  </si>
  <si>
    <t>RWY2</t>
  </si>
  <si>
    <t>HDG2</t>
  </si>
  <si>
    <t>RWY3</t>
  </si>
  <si>
    <t>HDG3</t>
  </si>
  <si>
    <t>RWY4</t>
  </si>
  <si>
    <t>HDG4</t>
  </si>
  <si>
    <t>TORA (M)</t>
  </si>
  <si>
    <t>ASDA (M)</t>
  </si>
  <si>
    <t>TODA (M)</t>
  </si>
  <si>
    <t>LDA (M)</t>
  </si>
  <si>
    <t>ENAT</t>
  </si>
  <si>
    <t>11</t>
  </si>
  <si>
    <t>ENAN</t>
  </si>
  <si>
    <t>14</t>
  </si>
  <si>
    <t>ENGK</t>
  </si>
  <si>
    <t>05</t>
  </si>
  <si>
    <t>ENBR</t>
  </si>
  <si>
    <t>17</t>
  </si>
  <si>
    <t>ENBL</t>
  </si>
  <si>
    <t>ENBV</t>
  </si>
  <si>
    <t>06</t>
  </si>
  <si>
    <t>ENBO</t>
  </si>
  <si>
    <t>07</t>
  </si>
  <si>
    <t>ENBN</t>
  </si>
  <si>
    <t>03</t>
  </si>
  <si>
    <t>ENBS</t>
  </si>
  <si>
    <t>ENFL</t>
  </si>
  <si>
    <t>ENHF</t>
  </si>
  <si>
    <t>04</t>
  </si>
  <si>
    <t>ENEV</t>
  </si>
  <si>
    <t>ENHK</t>
  </si>
  <si>
    <t>ENHD</t>
  </si>
  <si>
    <t>13</t>
  </si>
  <si>
    <t>ENHV</t>
  </si>
  <si>
    <t>08</t>
  </si>
  <si>
    <t>ENEG</t>
  </si>
  <si>
    <t>ENCN</t>
  </si>
  <si>
    <t>ENKR</t>
  </si>
  <si>
    <t>ENKJ</t>
  </si>
  <si>
    <t>12</t>
  </si>
  <si>
    <t>ENKB</t>
  </si>
  <si>
    <t>ENNA</t>
  </si>
  <si>
    <t>16</t>
  </si>
  <si>
    <t>ENLK</t>
  </si>
  <si>
    <t>02</t>
  </si>
  <si>
    <t>ENMH</t>
  </si>
  <si>
    <t>ENRA</t>
  </si>
  <si>
    <t>ENGM</t>
  </si>
  <si>
    <t>01L</t>
  </si>
  <si>
    <t>ENML</t>
  </si>
  <si>
    <t>19R</t>
  </si>
  <si>
    <t>ENMS</t>
  </si>
  <si>
    <t>15</t>
  </si>
  <si>
    <t>01R</t>
  </si>
  <si>
    <t>ENNM</t>
  </si>
  <si>
    <t>19L</t>
  </si>
  <si>
    <t>ENNO</t>
  </si>
  <si>
    <t>ENAS</t>
  </si>
  <si>
    <t>ENRE</t>
  </si>
  <si>
    <t>ENRY</t>
  </si>
  <si>
    <t>ENRO</t>
  </si>
  <si>
    <t>ENRM</t>
  </si>
  <si>
    <t>ENRS</t>
  </si>
  <si>
    <t>ENSD</t>
  </si>
  <si>
    <t>ENTO</t>
  </si>
  <si>
    <t>18</t>
  </si>
  <si>
    <t>ENST</t>
  </si>
  <si>
    <t>ENSG</t>
  </si>
  <si>
    <t>ENZV</t>
  </si>
  <si>
    <t>10</t>
  </si>
  <si>
    <t>ENSK</t>
  </si>
  <si>
    <t>ENSO</t>
  </si>
  <si>
    <t>ENSB</t>
  </si>
  <si>
    <t>09</t>
  </si>
  <si>
    <t>ENSH</t>
  </si>
  <si>
    <t>ENSR</t>
  </si>
  <si>
    <t>ENTC</t>
  </si>
  <si>
    <t>ENVA</t>
  </si>
  <si>
    <t>ENVD</t>
  </si>
  <si>
    <t>ENSS</t>
  </si>
  <si>
    <t>ENOL</t>
  </si>
  <si>
    <t>ENOV</t>
  </si>
  <si>
    <t>ENAL</t>
  </si>
  <si>
    <t>DONT TOUCH</t>
  </si>
  <si>
    <t>USED FOR CG CALCS</t>
  </si>
  <si>
    <t>Alt</t>
  </si>
  <si>
    <t>Temp -20</t>
  </si>
  <si>
    <t>Temp Std</t>
  </si>
  <si>
    <t>Temp +20</t>
  </si>
  <si>
    <t>TAS Std</t>
  </si>
  <si>
    <t>TAS -20</t>
  </si>
  <si>
    <t>TAS +20</t>
  </si>
  <si>
    <t>GPH -20</t>
  </si>
  <si>
    <t>GPH Std</t>
  </si>
  <si>
    <t>GPH +20</t>
  </si>
  <si>
    <t>20MP 2200RPM</t>
  </si>
  <si>
    <t>18MP 2200RPM</t>
  </si>
  <si>
    <t>16MP 2200RPM</t>
  </si>
  <si>
    <t>20</t>
  </si>
  <si>
    <t>ENLK02</t>
  </si>
  <si>
    <t>ENLK20</t>
  </si>
  <si>
    <t>endu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</si>
</sst>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h:mm:ss;@"/>
  </numFmts>
  <fonts count="9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8"/>
      <name val="Aptos Narrow"/>
      <family val="2"/>
      <scheme val="minor"/>
    </font>
    <font>
      <sz val="10"/>
      <color theme="1"/>
      <name val="Arial Unicode MS"/>
    </font>
    <font>
      <b/>
      <sz val="14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2" borderId="0" xfId="0" applyFill="1"/>
    <xf numFmtId="2" fontId="0" fillId="0" borderId="0" xfId="0" applyNumberFormat="1"/>
    <xf numFmtId="0" fontId="1" fillId="3" borderId="0" xfId="0" applyFont="1" applyFill="1"/>
    <xf numFmtId="49" fontId="0" fillId="0" borderId="0" xfId="0" applyNumberFormat="1"/>
    <xf numFmtId="49" fontId="0" fillId="2" borderId="0" xfId="0" applyNumberFormat="1" applyFill="1"/>
    <xf numFmtId="2" fontId="0" fillId="2" borderId="0" xfId="0" applyNumberFormat="1" applyFill="1"/>
    <xf numFmtId="0" fontId="0" fillId="0" borderId="0" xfId="0" applyAlignment="1">
      <alignment wrapText="1"/>
    </xf>
    <xf numFmtId="1" fontId="0" fillId="0" borderId="0" xfId="0" applyNumberFormat="1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164" fontId="0" fillId="6" borderId="1" xfId="0" applyNumberFormat="1" applyFill="1" applyBorder="1"/>
    <xf numFmtId="2" fontId="0" fillId="6" borderId="1" xfId="0" applyNumberFormat="1" applyFill="1" applyBorder="1"/>
    <xf numFmtId="0" fontId="0" fillId="6" borderId="1" xfId="0" applyFill="1" applyBorder="1"/>
    <xf numFmtId="1" fontId="0" fillId="0" borderId="1" xfId="0" applyNumberFormat="1" applyBorder="1"/>
    <xf numFmtId="0" fontId="0" fillId="4" borderId="1" xfId="0" applyFill="1" applyBorder="1"/>
    <xf numFmtId="1" fontId="0" fillId="6" borderId="1" xfId="0" applyNumberFormat="1" applyFill="1" applyBorder="1"/>
    <xf numFmtId="164" fontId="0" fillId="0" borderId="1" xfId="0" applyNumberFormat="1" applyBorder="1"/>
    <xf numFmtId="0" fontId="0" fillId="7" borderId="1" xfId="0" applyFill="1" applyBorder="1"/>
    <xf numFmtId="49" fontId="1" fillId="7" borderId="1" xfId="0" applyNumberFormat="1" applyFont="1" applyFill="1" applyBorder="1"/>
    <xf numFmtId="1" fontId="3" fillId="2" borderId="1" xfId="0" applyNumberFormat="1" applyFont="1" applyFill="1" applyBorder="1"/>
    <xf numFmtId="0" fontId="0" fillId="6" borderId="1" xfId="0" applyFill="1" applyBorder="1" applyAlignment="1">
      <alignment horizontal="right"/>
    </xf>
    <xf numFmtId="0" fontId="1" fillId="3" borderId="1" xfId="0" applyFont="1" applyFill="1" applyBorder="1"/>
    <xf numFmtId="0" fontId="3" fillId="0" borderId="1" xfId="0" applyFont="1" applyBorder="1"/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3" fillId="2" borderId="1" xfId="0" applyFont="1" applyFill="1" applyBorder="1"/>
    <xf numFmtId="0" fontId="6" fillId="6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9" fontId="3" fillId="0" borderId="1" xfId="0" applyNumberFormat="1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5" borderId="5" xfId="0" applyFill="1" applyBorder="1"/>
    <xf numFmtId="0" fontId="0" fillId="6" borderId="6" xfId="0" applyFill="1" applyBorder="1" applyAlignment="1">
      <alignment horizontal="center"/>
    </xf>
    <xf numFmtId="1" fontId="0" fillId="6" borderId="6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2" fillId="3" borderId="7" xfId="0" applyFont="1" applyFill="1" applyBorder="1"/>
    <xf numFmtId="0" fontId="0" fillId="2" borderId="7" xfId="0" applyFill="1" applyBorder="1"/>
    <xf numFmtId="0" fontId="0" fillId="0" borderId="7" xfId="0" applyBorder="1"/>
    <xf numFmtId="0" fontId="0" fillId="2" borderId="2" xfId="0" applyFill="1" applyBorder="1"/>
    <xf numFmtId="0" fontId="3" fillId="6" borderId="2" xfId="0" applyFont="1" applyFill="1" applyBorder="1" applyAlignment="1">
      <alignment horizontal="center"/>
    </xf>
    <xf numFmtId="1" fontId="3" fillId="6" borderId="2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8" fillId="0" borderId="0" xfId="0" applyFont="1"/>
    <xf numFmtId="1" fontId="3" fillId="2" borderId="2" xfId="0" applyNumberFormat="1" applyFont="1" applyFill="1" applyBorder="1"/>
    <xf numFmtId="1" fontId="3" fillId="9" borderId="7" xfId="0" applyNumberFormat="1" applyFont="1" applyFill="1" applyBorder="1"/>
    <xf numFmtId="0" fontId="8" fillId="6" borderId="7" xfId="0" applyFont="1" applyFill="1" applyBorder="1"/>
    <xf numFmtId="165" fontId="0" fillId="0" borderId="1" xfId="0" applyNumberFormat="1" applyBorder="1"/>
    <xf numFmtId="165" fontId="0" fillId="6" borderId="1" xfId="0" applyNumberFormat="1" applyFill="1" applyBorder="1"/>
    <xf numFmtId="165" fontId="0" fillId="3" borderId="1" xfId="0" applyNumberFormat="1" applyFill="1" applyBorder="1"/>
    <xf numFmtId="2" fontId="3" fillId="0" borderId="5" xfId="0" applyNumberFormat="1" applyFont="1" applyBorder="1"/>
    <xf numFmtId="0" fontId="0" fillId="10" borderId="0" xfId="0" applyFill="1"/>
    <xf numFmtId="0" fontId="3" fillId="0" borderId="0" xfId="0" applyFont="1"/>
    <xf numFmtId="0" fontId="0" fillId="6" borderId="3" xfId="0" applyFill="1" applyBorder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0" fontId="0" fillId="6" borderId="7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7" fillId="6" borderId="9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164" fontId="3" fillId="2" borderId="2" xfId="0" applyNumberFormat="1" applyFont="1" applyFill="1" applyBorder="1" applyAlignment="1">
      <alignment horizontal="center"/>
    </xf>
    <xf numFmtId="0" fontId="0" fillId="6" borderId="8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3" fillId="8" borderId="0" xfId="0" applyFont="1" applyFill="1" applyAlignment="1">
      <alignment horizontal="center" vertical="center" wrapText="1"/>
    </xf>
    <xf numFmtId="164" fontId="0" fillId="6" borderId="1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64" fontId="3" fillId="9" borderId="7" xfId="0" applyNumberFormat="1" applyFont="1" applyFill="1" applyBorder="1" applyAlignment="1">
      <alignment horizontal="center"/>
    </xf>
    <xf numFmtId="1" fontId="3" fillId="9" borderId="7" xfId="0" applyNumberFormat="1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CENTER-OF-GRAVITY LIMITS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0.10745055428454338"/>
          <c:y val="0.10510125168403246"/>
          <c:w val="0.86733791148366279"/>
          <c:h val="0.76930060721111726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Performance!$Q$2:$Q$8</c:f>
              <c:numCache>
                <c:formatCode>General</c:formatCode>
                <c:ptCount val="7"/>
                <c:pt idx="0">
                  <c:v>33</c:v>
                </c:pt>
                <c:pt idx="1">
                  <c:v>33</c:v>
                </c:pt>
                <c:pt idx="2">
                  <c:v>35.799999999999997</c:v>
                </c:pt>
                <c:pt idx="3">
                  <c:v>41</c:v>
                </c:pt>
                <c:pt idx="4">
                  <c:v>46</c:v>
                </c:pt>
                <c:pt idx="5">
                  <c:v>46</c:v>
                </c:pt>
                <c:pt idx="6">
                  <c:v>33</c:v>
                </c:pt>
              </c:numCache>
            </c:numRef>
          </c:xVal>
          <c:yVal>
            <c:numRef>
              <c:f>Performance!$R$2:$R$8</c:f>
              <c:numCache>
                <c:formatCode>General</c:formatCode>
                <c:ptCount val="7"/>
                <c:pt idx="0">
                  <c:v>1800</c:v>
                </c:pt>
                <c:pt idx="1">
                  <c:v>2225</c:v>
                </c:pt>
                <c:pt idx="2">
                  <c:v>2700</c:v>
                </c:pt>
                <c:pt idx="3">
                  <c:v>3100</c:v>
                </c:pt>
                <c:pt idx="4">
                  <c:v>3100</c:v>
                </c:pt>
                <c:pt idx="5">
                  <c:v>1800</c:v>
                </c:pt>
                <c:pt idx="6">
                  <c:v>1800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F2-40BD-B32C-DF71B14EA85E}"/>
            </c:ext>
          </c:extLst>
        </c:ser>
        <c:ser>
          <c:idx val="1"/>
          <c:order val="1"/>
          <c:tx>
            <c:strRef>
              <c:f>Performance!$T$2</c:f>
              <c:strCache>
                <c:ptCount val="1"/>
                <c:pt idx="0">
                  <c:v>34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Performance!$T$2:$T$3</c:f>
              <c:numCache>
                <c:formatCode>General</c:formatCode>
                <c:ptCount val="2"/>
                <c:pt idx="0">
                  <c:v>34</c:v>
                </c:pt>
                <c:pt idx="1">
                  <c:v>34</c:v>
                </c:pt>
              </c:numCache>
            </c:numRef>
          </c:xVal>
          <c:yVal>
            <c:numRef>
              <c:f>Performance!$U$2:$U$3</c:f>
              <c:numCache>
                <c:formatCode>General</c:formatCode>
                <c:ptCount val="2"/>
                <c:pt idx="0">
                  <c:v>1800</c:v>
                </c:pt>
                <c:pt idx="1">
                  <c:v>2400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F2-40BD-B32C-DF71B14EA85E}"/>
            </c:ext>
          </c:extLst>
        </c:ser>
        <c:ser>
          <c:idx val="2"/>
          <c:order val="2"/>
          <c:tx>
            <c:v>Maximum Landing Weight</c:v>
          </c:tx>
          <c:spPr>
            <a:ln w="317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Performance!$W$2:$W$3</c:f>
              <c:numCache>
                <c:formatCode>General</c:formatCode>
                <c:ptCount val="2"/>
                <c:pt idx="0">
                  <c:v>39</c:v>
                </c:pt>
                <c:pt idx="1">
                  <c:v>46</c:v>
                </c:pt>
              </c:numCache>
            </c:numRef>
          </c:xVal>
          <c:yVal>
            <c:numRef>
              <c:f>Performance!$X$2:$X$3</c:f>
              <c:numCache>
                <c:formatCode>General</c:formatCode>
                <c:ptCount val="2"/>
                <c:pt idx="0">
                  <c:v>2950</c:v>
                </c:pt>
                <c:pt idx="1">
                  <c:v>2950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F2-40BD-B32C-DF71B14EA85E}"/>
            </c:ext>
          </c:extLst>
        </c:ser>
        <c:ser>
          <c:idx val="3"/>
          <c:order val="3"/>
          <c:tx>
            <c:v>Takeoff CG</c:v>
          </c:tx>
          <c:spPr>
            <a:ln w="19050" cap="rnd">
              <a:solidFill>
                <a:schemeClr val="dk1">
                  <a:tint val="98500"/>
                </a:schemeClr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rgbClr val="FFC000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TO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31F2-40BD-B32C-DF71B14EA8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OFP!$E$11</c:f>
              <c:numCache>
                <c:formatCode>0.0</c:formatCode>
                <c:ptCount val="1"/>
                <c:pt idx="0">
                  <c:v>40.200000000000003</c:v>
                </c:pt>
              </c:numCache>
            </c:numRef>
          </c:xVal>
          <c:yVal>
            <c:numRef>
              <c:f>OFP!$D$11</c:f>
              <c:numCache>
                <c:formatCode>0</c:formatCode>
                <c:ptCount val="1"/>
                <c:pt idx="0">
                  <c:v>2582.3000000000002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1F2-40BD-B32C-DF71B14EA85E}"/>
            </c:ext>
          </c:extLst>
        </c:ser>
        <c:ser>
          <c:idx val="4"/>
          <c:order val="4"/>
          <c:tx>
            <c:v>Landing CG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LDG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31F2-40BD-B32C-DF71B14EA8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OFP!$E$14</c:f>
              <c:numCache>
                <c:formatCode>0.0</c:formatCode>
                <c:ptCount val="1"/>
                <c:pt idx="0">
                  <c:v>39.614262288189039</c:v>
                </c:pt>
              </c:numCache>
            </c:numRef>
          </c:xVal>
          <c:yVal>
            <c:numRef>
              <c:f>OFP!$D$14</c:f>
              <c:numCache>
                <c:formatCode>0</c:formatCode>
                <c:ptCount val="1"/>
                <c:pt idx="0">
                  <c:v>2378.3000000000002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1F2-40BD-B32C-DF71B14EA85E}"/>
            </c:ext>
          </c:extLst>
        </c:ser>
        <c:ser>
          <c:idx val="5"/>
          <c:order val="5"/>
          <c:tx>
            <c:v>ZFM CG</c:v>
          </c:tx>
          <c:spPr>
            <a:ln w="19050" cap="rnd">
              <a:solidFill>
                <a:schemeClr val="dk1">
                  <a:tint val="60000"/>
                </a:schemeClr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tx1">
                  <a:lumMod val="85000"/>
                  <a:lumOff val="15000"/>
                </a:schemeClr>
              </a:solidFill>
              <a:ln w="9525">
                <a:solidFill>
                  <a:schemeClr val="dk1">
                    <a:tint val="60000"/>
                  </a:schemeClr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ZFM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31F2-40BD-B32C-DF71B14EA8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OFP!$E$15</c:f>
              <c:numCache>
                <c:formatCode>0.0</c:formatCode>
                <c:ptCount val="1"/>
                <c:pt idx="0">
                  <c:v>39.050448073511348</c:v>
                </c:pt>
              </c:numCache>
            </c:numRef>
          </c:xVal>
          <c:yVal>
            <c:numRef>
              <c:f>OFP!$D$15</c:f>
              <c:numCache>
                <c:formatCode>0</c:formatCode>
                <c:ptCount val="1"/>
                <c:pt idx="0">
                  <c:v>2198.3000000000002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1F2-40BD-B32C-DF71B14EA85E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515702496"/>
        <c:axId val="515700576"/>
      </c:scatterChart>
      <c:valAx>
        <c:axId val="515702496"/>
        <c:scaling>
          <c:orientation val="minMax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15700576"/>
        <c:crosses val="autoZero"/>
        <c:crossBetween val="midCat"/>
        <c:majorUnit val="1"/>
      </c:valAx>
      <c:valAx>
        <c:axId val="515700576"/>
        <c:scaling>
          <c:orientation val="minMax"/>
          <c:min val="180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6350" cap="flat" cmpd="sng" algn="ctr">
              <a:solidFill>
                <a:schemeClr val="tx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Pounds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15702496"/>
        <c:crosses val="autoZero"/>
        <c:crossBetween val="midCat"/>
        <c:majorUnit val="100"/>
        <c:minorUnit val="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21</xdr:row>
      <xdr:rowOff>161441</xdr:rowOff>
    </xdr:from>
    <xdr:to>
      <xdr:col>8</xdr:col>
      <xdr:colOff>476249</xdr:colOff>
      <xdr:row>53</xdr:row>
      <xdr:rowOff>23232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419358-C29D-4099-AEF9-E65B3A8C56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4</xdr:col>
      <xdr:colOff>182702</xdr:colOff>
      <xdr:row>24</xdr:row>
      <xdr:rowOff>157347</xdr:rowOff>
    </xdr:from>
    <xdr:ext cx="2424959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216BF56-0BCC-C2B4-F4DE-7481AAB2125D}"/>
            </a:ext>
          </a:extLst>
        </xdr:cNvPr>
        <xdr:cNvSpPr txBox="1"/>
      </xdr:nvSpPr>
      <xdr:spPr>
        <a:xfrm>
          <a:off x="2902978" y="4467813"/>
          <a:ext cx="2424959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nb-NO" sz="1100" b="1"/>
            <a:t>Maximum Takeoff Weight 3100 Pounds</a:t>
          </a:r>
        </a:p>
      </xdr:txBody>
    </xdr:sp>
    <xdr:clientData/>
  </xdr:oneCellAnchor>
  <xdr:oneCellAnchor>
    <xdr:from>
      <xdr:col>3</xdr:col>
      <xdr:colOff>188156</xdr:colOff>
      <xdr:row>27</xdr:row>
      <xdr:rowOff>67078</xdr:rowOff>
    </xdr:from>
    <xdr:ext cx="1314591" cy="42114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B716A8D-5FEF-A365-AF3E-4A090FB8F128}"/>
            </a:ext>
          </a:extLst>
        </xdr:cNvPr>
        <xdr:cNvSpPr txBox="1"/>
      </xdr:nvSpPr>
      <xdr:spPr>
        <a:xfrm>
          <a:off x="2133517" y="4910298"/>
          <a:ext cx="1314591" cy="42114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nb-NO" sz="1050" b="1"/>
            <a:t>Maximum Landing</a:t>
          </a:r>
        </a:p>
        <a:p>
          <a:r>
            <a:rPr lang="nb-NO" sz="1050" b="1"/>
            <a:t>Weight</a:t>
          </a:r>
          <a:r>
            <a:rPr lang="nb-NO" sz="1050" b="1" baseline="0"/>
            <a:t> 2950 Pounds</a:t>
          </a:r>
          <a:endParaRPr lang="nb-NO" sz="1050" b="1"/>
        </a:p>
      </xdr:txBody>
    </xdr:sp>
    <xdr:clientData/>
  </xdr:oneCellAnchor>
  <xdr:oneCellAnchor>
    <xdr:from>
      <xdr:col>1</xdr:col>
      <xdr:colOff>590977</xdr:colOff>
      <xdr:row>37</xdr:row>
      <xdr:rowOff>31448</xdr:rowOff>
    </xdr:from>
    <xdr:ext cx="886718" cy="40536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92B39DC-B495-9C5F-E930-550876EC2AE5}"/>
            </a:ext>
          </a:extLst>
        </xdr:cNvPr>
        <xdr:cNvSpPr txBox="1"/>
      </xdr:nvSpPr>
      <xdr:spPr>
        <a:xfrm>
          <a:off x="1212426" y="6768643"/>
          <a:ext cx="886718" cy="40536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nb-NO" sz="1000" b="1"/>
            <a:t>Autopilot use</a:t>
          </a:r>
        </a:p>
        <a:p>
          <a:r>
            <a:rPr lang="nb-NO" sz="1000" b="1"/>
            <a:t>prohibited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1690E4-2DE6-4619-8EF0-7DE82B4CD264}" name="PerfTOD" displayName="PerfTOD" ref="A1:D91" totalsRowShown="0" headerRowDxfId="8">
  <autoFilter ref="A1:D91" xr:uid="{271690E4-2DE6-4619-8EF0-7DE82B4CD264}"/>
  <tableColumns count="4">
    <tableColumn id="1" xr3:uid="{7B4C0ED1-EF60-46A8-B3C3-6165A66D7601}" name="Weight"/>
    <tableColumn id="2" xr3:uid="{5A8924DA-A9B9-4BA7-8385-E1CE4307356D}" name="PA"/>
    <tableColumn id="3" xr3:uid="{377C078B-A37F-4C45-9BB6-DA12F7A923D3}" name="Temp"/>
    <tableColumn id="4" xr3:uid="{84B355FD-551F-417C-95FB-213C3D14BCDD}" name="Di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E0253-D1C4-5544-B620-36150DC7B63F}">
  <dimension ref="A1:Z37"/>
  <sheetViews>
    <sheetView tabSelected="1" zoomScale="68" zoomScaleNormal="85" zoomScaleSheetLayoutView="100" workbookViewId="0">
      <selection activeCell="Q9" sqref="Q9"/>
    </sheetView>
  </sheetViews>
  <sheetFormatPr defaultColWidth="9" defaultRowHeight="14.25"/>
  <cols>
    <col min="1" max="1" width="8.73046875" customWidth="1"/>
    <col min="2" max="2" width="9.1328125" customWidth="1"/>
    <col min="3" max="3" width="9.3984375" customWidth="1"/>
    <col min="4" max="4" width="10.86328125" customWidth="1"/>
    <col min="6" max="6" width="8.265625" customWidth="1"/>
    <col min="7" max="7" width="11.1328125" customWidth="1"/>
    <col min="8" max="8" width="9.86328125" customWidth="1"/>
    <col min="9" max="9" width="9.73046875" customWidth="1"/>
    <col min="10" max="10" width="11.1328125" customWidth="1"/>
    <col min="11" max="11" width="8.265625" customWidth="1"/>
    <col min="12" max="12" width="8.59765625" customWidth="1"/>
    <col min="13" max="13" width="9.3984375" customWidth="1"/>
    <col min="14" max="14" width="12.73046875" customWidth="1"/>
    <col min="15" max="15" width="13.86328125" customWidth="1"/>
    <col min="16" max="16" width="10.59765625" customWidth="1"/>
    <col min="20" max="20" width="10.59765625" customWidth="1"/>
    <col min="21" max="21" width="11.73046875" customWidth="1"/>
    <col min="22" max="22" width="9.59765625" customWidth="1"/>
    <col min="23" max="23" width="9.73046875" customWidth="1"/>
    <col min="24" max="24" width="9.59765625" customWidth="1"/>
    <col min="25" max="25" width="9.1328125" customWidth="1"/>
  </cols>
  <sheetData>
    <row r="1" spans="1:26">
      <c r="A1" s="63" t="s">
        <v>0</v>
      </c>
      <c r="B1" s="63"/>
      <c r="C1" s="63"/>
      <c r="D1" s="63"/>
      <c r="E1" s="63"/>
      <c r="F1" s="63"/>
      <c r="G1" s="63"/>
      <c r="H1" s="63"/>
      <c r="I1" s="33"/>
      <c r="J1" s="62" t="s">
        <v>1</v>
      </c>
      <c r="K1" s="62"/>
      <c r="L1" s="62"/>
      <c r="M1" s="62"/>
      <c r="N1" s="62"/>
      <c r="O1" s="62"/>
      <c r="P1" s="34"/>
      <c r="Q1" s="32"/>
      <c r="R1" s="32"/>
      <c r="S1" s="32"/>
      <c r="T1" s="32"/>
      <c r="U1" s="32"/>
      <c r="V1" s="32"/>
      <c r="Y1" s="50"/>
      <c r="Z1" s="50" cm="1">
        <f t="array" ref="Z1:Z2">IF(OFP!N16="", "", _xlfn.LET(_xlpm.RowData, _xlfn._xlws.FILTER(NavData!C:J, NavData!A:A=OFP!N16, ""), _xlpm.AllRunways, _xlfn.CHOOSECOLS(_xlfn.WRAPROWS(_xlpm.RowData, 2), 1), _xlfn._xlws.FILTER(_xlpm.AllRunways, _xlpm.AllRunways&lt;&gt;"")))</f>
        <v>10</v>
      </c>
    </row>
    <row r="2" spans="1:26">
      <c r="A2" s="86" t="s">
        <v>2</v>
      </c>
      <c r="B2" s="86"/>
      <c r="C2" s="9"/>
      <c r="D2" s="10" t="s">
        <v>3</v>
      </c>
      <c r="E2" s="61" t="s">
        <v>4</v>
      </c>
      <c r="F2" s="61"/>
      <c r="G2" s="61" t="s">
        <v>5</v>
      </c>
      <c r="H2" s="61"/>
      <c r="J2" s="10"/>
      <c r="K2" s="10"/>
      <c r="L2" s="10"/>
      <c r="M2" s="10" t="s">
        <v>6</v>
      </c>
      <c r="N2" s="10" t="s">
        <v>7</v>
      </c>
      <c r="O2" s="10" t="s">
        <v>8</v>
      </c>
      <c r="Y2" s="50"/>
      <c r="Z2" s="50" t="str">
        <v>28</v>
      </c>
    </row>
    <row r="3" spans="1:26">
      <c r="A3" s="67" t="s">
        <v>9</v>
      </c>
      <c r="B3" s="67"/>
      <c r="C3" s="67"/>
      <c r="D3" s="12">
        <f>VLOOKUP(OFP!A2,'AC REG'!A:C, 2, FALSE)</f>
        <v>2020.3</v>
      </c>
      <c r="E3" s="73">
        <f>IFERROR(G3/D3,0)</f>
        <v>38.982428352224915</v>
      </c>
      <c r="F3" s="73"/>
      <c r="G3" s="85">
        <f>VLOOKUP(A2,'AC REG'!A:C,3,FALSE)</f>
        <v>78756.2</v>
      </c>
      <c r="H3" s="85"/>
      <c r="J3" s="77" t="s">
        <v>10</v>
      </c>
      <c r="K3" s="77"/>
      <c r="L3" s="77"/>
      <c r="M3" s="13">
        <f>(O3*24)*P4+1.7</f>
        <v>34.000000000000007</v>
      </c>
      <c r="N3" s="14">
        <f>M3*6</f>
        <v>204.00000000000006</v>
      </c>
      <c r="O3" s="51">
        <v>0.11215277777777778</v>
      </c>
      <c r="P3" s="35" t="s">
        <v>11</v>
      </c>
      <c r="Y3" s="50" t="s">
        <v>12</v>
      </c>
      <c r="Z3" s="50"/>
    </row>
    <row r="4" spans="1:26">
      <c r="A4" s="67" t="s">
        <v>13</v>
      </c>
      <c r="B4" s="67"/>
      <c r="C4" s="67"/>
      <c r="D4" s="15">
        <v>170</v>
      </c>
      <c r="E4" s="73">
        <v>37</v>
      </c>
      <c r="F4" s="73"/>
      <c r="G4" s="80">
        <f t="shared" ref="G4:G10" si="0">D4*E4</f>
        <v>6290</v>
      </c>
      <c r="H4" s="80"/>
      <c r="J4" s="77" t="s">
        <v>14</v>
      </c>
      <c r="K4" s="77"/>
      <c r="L4" s="77"/>
      <c r="M4" s="9">
        <v>6</v>
      </c>
      <c r="N4" s="14">
        <f>M4*6</f>
        <v>36</v>
      </c>
      <c r="O4" s="52">
        <f>M4/P4/24</f>
        <v>2.0833333333333332E-2</v>
      </c>
      <c r="P4" s="54">
        <v>12</v>
      </c>
      <c r="R4" s="62" t="s">
        <v>15</v>
      </c>
      <c r="S4" s="62"/>
      <c r="Y4" s="50"/>
      <c r="Z4" s="50"/>
    </row>
    <row r="5" spans="1:26">
      <c r="A5" s="67" t="s">
        <v>16</v>
      </c>
      <c r="B5" s="67"/>
      <c r="C5" s="67"/>
      <c r="D5" s="15">
        <v>0</v>
      </c>
      <c r="E5" s="73">
        <v>37</v>
      </c>
      <c r="F5" s="73"/>
      <c r="G5" s="80">
        <f t="shared" si="0"/>
        <v>0</v>
      </c>
      <c r="H5" s="80"/>
      <c r="J5" s="77" t="s">
        <v>17</v>
      </c>
      <c r="K5" s="77"/>
      <c r="L5" s="77"/>
      <c r="M5" s="9"/>
      <c r="N5" s="9"/>
      <c r="O5" s="51"/>
      <c r="R5" s="16" t="s">
        <v>18</v>
      </c>
      <c r="S5" s="9">
        <v>65</v>
      </c>
      <c r="Y5" s="50"/>
      <c r="Z5" s="50"/>
    </row>
    <row r="6" spans="1:26">
      <c r="A6" s="67" t="s">
        <v>19</v>
      </c>
      <c r="B6" s="67"/>
      <c r="C6" s="67"/>
      <c r="D6" s="15">
        <v>0</v>
      </c>
      <c r="E6" s="73">
        <v>74</v>
      </c>
      <c r="F6" s="73"/>
      <c r="G6" s="80">
        <f t="shared" si="0"/>
        <v>0</v>
      </c>
      <c r="H6" s="80"/>
      <c r="J6" s="77" t="s">
        <v>20</v>
      </c>
      <c r="K6" s="77"/>
      <c r="L6" s="77"/>
      <c r="M6" s="13">
        <f>(O6*24)*P4</f>
        <v>12</v>
      </c>
      <c r="N6" s="14">
        <f>M6*6</f>
        <v>72</v>
      </c>
      <c r="O6" s="51">
        <v>4.1666666666666664E-2</v>
      </c>
      <c r="R6" s="16" t="s">
        <v>21</v>
      </c>
      <c r="S6" s="9">
        <v>80</v>
      </c>
      <c r="Y6" s="50"/>
      <c r="Z6" s="50"/>
    </row>
    <row r="7" spans="1:26">
      <c r="A7" s="67" t="s">
        <v>22</v>
      </c>
      <c r="B7" s="67"/>
      <c r="C7" s="67"/>
      <c r="D7" s="17">
        <f>N8</f>
        <v>384</v>
      </c>
      <c r="E7" s="73">
        <v>46.5</v>
      </c>
      <c r="F7" s="73"/>
      <c r="G7" s="80">
        <f t="shared" si="0"/>
        <v>17856</v>
      </c>
      <c r="H7" s="80"/>
      <c r="J7" s="78" t="s">
        <v>23</v>
      </c>
      <c r="K7" s="78"/>
      <c r="L7" s="78"/>
      <c r="M7" s="13">
        <f>SUM(M3:M6)</f>
        <v>52.000000000000007</v>
      </c>
      <c r="N7" s="14">
        <f>M7*6</f>
        <v>312.00000000000006</v>
      </c>
      <c r="O7" s="52">
        <f>SUM(O3:O6)</f>
        <v>0.17465277777777777</v>
      </c>
      <c r="R7" s="16" t="s">
        <v>24</v>
      </c>
      <c r="S7" s="9">
        <v>110</v>
      </c>
      <c r="Y7" s="47"/>
      <c r="Z7" s="47"/>
    </row>
    <row r="8" spans="1:26">
      <c r="A8" s="67" t="s">
        <v>25</v>
      </c>
      <c r="B8" s="67"/>
      <c r="C8" s="67"/>
      <c r="D8" s="18">
        <v>7.3</v>
      </c>
      <c r="E8" s="73">
        <v>97</v>
      </c>
      <c r="F8" s="73"/>
      <c r="G8" s="80">
        <f t="shared" si="0"/>
        <v>708.1</v>
      </c>
      <c r="H8" s="80"/>
      <c r="J8" s="77" t="s">
        <v>26</v>
      </c>
      <c r="K8" s="77"/>
      <c r="L8" s="77"/>
      <c r="M8" s="9">
        <v>64</v>
      </c>
      <c r="N8" s="14">
        <f>M8*6</f>
        <v>384</v>
      </c>
      <c r="O8" s="53"/>
      <c r="R8" s="16">
        <v>2600</v>
      </c>
      <c r="S8" s="9">
        <v>101</v>
      </c>
    </row>
    <row r="9" spans="1:26">
      <c r="A9" s="67" t="s">
        <v>27</v>
      </c>
      <c r="B9" s="67"/>
      <c r="C9" s="67"/>
      <c r="D9" s="12">
        <f>VLOOKUP(A2,'AC REG'!A:D,4,FALSE)</f>
        <v>0</v>
      </c>
      <c r="E9" s="73">
        <v>116</v>
      </c>
      <c r="F9" s="73"/>
      <c r="G9" s="80">
        <f t="shared" si="0"/>
        <v>0</v>
      </c>
      <c r="H9" s="80"/>
      <c r="J9" s="78" t="s">
        <v>28</v>
      </c>
      <c r="K9" s="78"/>
      <c r="L9" s="78"/>
      <c r="M9" s="19"/>
      <c r="N9" s="20" t="s">
        <v>29</v>
      </c>
      <c r="O9" s="52">
        <f>(M8/P4)/24</f>
        <v>0.22222222222222221</v>
      </c>
      <c r="R9" s="16">
        <v>2100</v>
      </c>
      <c r="S9" s="9">
        <v>91</v>
      </c>
    </row>
    <row r="10" spans="1:26">
      <c r="A10" s="67" t="s">
        <v>30</v>
      </c>
      <c r="B10" s="67"/>
      <c r="C10" s="67"/>
      <c r="D10" s="18">
        <v>0.7</v>
      </c>
      <c r="E10" s="73">
        <v>129</v>
      </c>
      <c r="F10" s="73"/>
      <c r="G10" s="80">
        <f t="shared" si="0"/>
        <v>90.3</v>
      </c>
      <c r="H10" s="80"/>
      <c r="R10" s="16" t="s">
        <v>31</v>
      </c>
      <c r="S10" s="9">
        <v>140</v>
      </c>
    </row>
    <row r="11" spans="1:26">
      <c r="A11" s="86" t="s">
        <v>32</v>
      </c>
      <c r="B11" s="86"/>
      <c r="C11" s="86"/>
      <c r="D11" s="21">
        <f>SUM(D3:D10)</f>
        <v>2582.3000000000002</v>
      </c>
      <c r="E11" s="74">
        <f>IFERROR(ROUND(G11/D11,1),0)</f>
        <v>40.200000000000003</v>
      </c>
      <c r="F11" s="74"/>
      <c r="G11" s="90">
        <f>SUM(G3:G10)</f>
        <v>103700.6</v>
      </c>
      <c r="H11" s="90"/>
      <c r="N11" s="66" t="s">
        <v>33</v>
      </c>
      <c r="O11" s="66"/>
      <c r="P11" s="66"/>
      <c r="R11" s="16" t="s">
        <v>34</v>
      </c>
      <c r="S11" s="17">
        <f>110-(((3100-D14)*9)/500)</f>
        <v>97.009399999999999</v>
      </c>
    </row>
    <row r="12" spans="1:26">
      <c r="A12" s="67" t="s">
        <v>35</v>
      </c>
      <c r="B12" s="67"/>
      <c r="C12" s="67"/>
      <c r="D12" s="17">
        <f>N3</f>
        <v>204.00000000000006</v>
      </c>
      <c r="E12" s="73">
        <v>46.5</v>
      </c>
      <c r="F12" s="73"/>
      <c r="G12" s="80">
        <f>D12*E12</f>
        <v>9486.0000000000018</v>
      </c>
      <c r="H12" s="80"/>
      <c r="N12" s="78" t="s">
        <v>36</v>
      </c>
      <c r="O12" s="78"/>
      <c r="P12" s="9"/>
      <c r="R12" s="16" t="s">
        <v>37</v>
      </c>
      <c r="S12" s="22">
        <f>ROUND(76-(((3100-D11)*6)/500),0)</f>
        <v>70</v>
      </c>
    </row>
    <row r="13" spans="1:26">
      <c r="A13" s="67" t="s">
        <v>38</v>
      </c>
      <c r="B13" s="67"/>
      <c r="C13" s="67"/>
      <c r="D13" s="15"/>
      <c r="E13" s="73"/>
      <c r="F13" s="73"/>
      <c r="G13" s="76"/>
      <c r="H13" s="76"/>
      <c r="N13" s="79">
        <f>IF((D11&gt;2950),((D11-2950)/6)/P4/24,0)</f>
        <v>0</v>
      </c>
      <c r="O13" s="79"/>
      <c r="P13" s="9"/>
    </row>
    <row r="14" spans="1:26">
      <c r="A14" s="72" t="s">
        <v>39</v>
      </c>
      <c r="B14" s="72"/>
      <c r="C14" s="72"/>
      <c r="D14" s="48">
        <f>D11-D12</f>
        <v>2378.3000000000002</v>
      </c>
      <c r="E14" s="81">
        <f>G14/D14</f>
        <v>39.614262288189039</v>
      </c>
      <c r="F14" s="81"/>
      <c r="G14" s="75">
        <f>G11-G12</f>
        <v>94214.6</v>
      </c>
      <c r="H14" s="75"/>
    </row>
    <row r="15" spans="1:26">
      <c r="A15" s="87" t="s">
        <v>40</v>
      </c>
      <c r="B15" s="87"/>
      <c r="C15" s="87"/>
      <c r="D15" s="49">
        <f>D11-D7</f>
        <v>2198.3000000000002</v>
      </c>
      <c r="E15" s="88">
        <f>G15/D15</f>
        <v>39.050448073511348</v>
      </c>
      <c r="F15" s="88"/>
      <c r="G15" s="89">
        <f>G11-G7</f>
        <v>85844.6</v>
      </c>
      <c r="H15" s="87"/>
      <c r="K15" t="s">
        <v>41</v>
      </c>
      <c r="N15" t="s">
        <v>42</v>
      </c>
    </row>
    <row r="16" spans="1:26" ht="18">
      <c r="C16" s="64" t="s">
        <v>43</v>
      </c>
      <c r="D16" s="64"/>
      <c r="E16" s="64"/>
      <c r="F16" s="64"/>
      <c r="G16" s="64"/>
      <c r="H16" s="64"/>
      <c r="J16" s="62" t="s">
        <v>44</v>
      </c>
      <c r="K16" s="62"/>
      <c r="L16" s="62"/>
      <c r="M16" s="23"/>
      <c r="N16" s="24" t="s">
        <v>208</v>
      </c>
      <c r="Q16" s="39" t="s">
        <v>46</v>
      </c>
      <c r="R16" s="39"/>
      <c r="S16" s="39"/>
      <c r="T16" s="70" t="s">
        <v>47</v>
      </c>
      <c r="U16" s="71"/>
    </row>
    <row r="17" spans="3:24">
      <c r="C17" t="s">
        <v>48</v>
      </c>
      <c r="J17" s="10" t="s">
        <v>49</v>
      </c>
      <c r="K17" s="67">
        <v>10</v>
      </c>
      <c r="L17" s="67"/>
      <c r="M17" s="10" t="s">
        <v>50</v>
      </c>
      <c r="N17" s="36">
        <f>IF(N16="", "", _xlfn.XLOOKUP(N16, NavData!$A:$A, NavData!$B:$B, ""))</f>
        <v>254</v>
      </c>
      <c r="O17" s="10" t="s">
        <v>51</v>
      </c>
      <c r="P17" s="38" t="s">
        <v>52</v>
      </c>
      <c r="Q17" s="40" t="s">
        <v>53</v>
      </c>
      <c r="R17" s="41"/>
      <c r="S17" s="41"/>
    </row>
    <row r="18" spans="3:24">
      <c r="C18" t="s">
        <v>54</v>
      </c>
      <c r="J18" s="10" t="s">
        <v>55</v>
      </c>
      <c r="K18" s="69" cm="1">
        <f t="array" ref="K18">IF(K17="", "", _xlfn.LET(_xlpm.RowData, _xlfn._xlws.FILTER(NavData!C:J, NavData!A:A=N16, ""), _xlpm.PairedData, _xlfn.WRAPROWS(_xlpm.RowData, 2), _xlfn.XLOOKUP(K17, _xlfn.CHOOSECOLS(_xlpm.PairedData, 1), _xlfn.CHOOSECOLS(_xlpm.PairedData, 2), "")))</f>
        <v>99</v>
      </c>
      <c r="L18" s="69"/>
      <c r="M18" s="10" t="s">
        <v>56</v>
      </c>
      <c r="N18" s="37" t="str">
        <f>IF(K19="VRB", L19, _xlfn.LET(_xlpm.RawXWC, L19 * SIN(RADIANS(K18-K19)), _xlpm.RoundedXWC, ROUND(ABS(_xlpm.RawXWC), 0), IF(_xlpm.RoundedXWC = 0, "0", _xlpm.RoundedXWC &amp; IF(_xlpm.RawXWC &gt; 0, "L", "R"))))</f>
        <v>3L</v>
      </c>
      <c r="O18" s="27" t="s">
        <v>57</v>
      </c>
      <c r="P18" s="36">
        <f>N17+(27*(1013-K20))</f>
        <v>875</v>
      </c>
      <c r="Q18" s="40" t="s">
        <v>58</v>
      </c>
      <c r="R18" s="41"/>
      <c r="S18" s="40"/>
    </row>
    <row r="19" spans="3:24">
      <c r="C19" t="s">
        <v>59</v>
      </c>
      <c r="J19" s="10" t="s">
        <v>53</v>
      </c>
      <c r="K19" s="25">
        <f>IF(ISNUMBER(R17), R17, IFERROR(VALUE(MID(J21, SEARCH("Z ", J21) + 2, 3)), "VRB"))</f>
        <v>20</v>
      </c>
      <c r="L19" s="25">
        <f>IF(ISNUMBER(S17), S17, VALUE(MID(J21, SEARCH("Z ", J21) + 5, 2)))</f>
        <v>3</v>
      </c>
      <c r="M19" s="10" t="s">
        <v>60</v>
      </c>
      <c r="N19" s="57" t="str">
        <f>IF(K19="VRB", L19*-1, _xlfn.LET(_xlpm.RawHWC, L19 * COS(RADIANS(K18-K19)), _xlpm.RoundedHWC, ROUND(ABS(_xlpm.RawHWC), 0), IF(_xlpm.RoundedHWC = 0, "0", _xlpm.RoundedHWC &amp; IF(_xlpm.RawHWC &gt; 0, "HW", "TW"))))</f>
        <v>1HW</v>
      </c>
      <c r="O19" s="27" t="s">
        <v>61</v>
      </c>
      <c r="P19" s="36">
        <f>ROUND(P18 + (120 * (N20 - (15 - (2 * (P18 / 1000))))), 0)</f>
        <v>605</v>
      </c>
      <c r="Q19" s="40" t="s">
        <v>62</v>
      </c>
      <c r="R19" s="41"/>
      <c r="S19" s="40"/>
    </row>
    <row r="20" spans="3:24">
      <c r="C20" t="s">
        <v>63</v>
      </c>
      <c r="J20" s="42" t="s">
        <v>58</v>
      </c>
      <c r="K20" s="68">
        <f>IF(ISNUMBER(R18), R18, VALUE(MID(J21, SEARCH(" Q", J21)+2, 4)))</f>
        <v>990</v>
      </c>
      <c r="L20" s="68"/>
      <c r="M20" s="58" t="s">
        <v>62</v>
      </c>
      <c r="N20" s="60">
        <f>IF(ISNUMBER(R19), R19, VALUE(SUBSTITUTE(TRIM(MID(J21, SEARCH("/", J21)-3, 3)), "M", "-")))</f>
        <v>11</v>
      </c>
      <c r="O20" s="59"/>
      <c r="P20" s="42"/>
    </row>
    <row r="21" spans="3:24">
      <c r="C21" t="s">
        <v>64</v>
      </c>
      <c r="J21" s="82" t="str">
        <f>IF(N16="", "", IFERROR(_xlfn.WEBSERVICE("https://aviationweather.gov/api/data/metar?ids="&amp;N16), "METAR UNAVAIL"))</f>
        <v>METAR ENDU 201150Z 02003KT 350V080 9999 FEW040 BKN055 11/05 Q0990 NOSIG RMK WIND 1374FT 33005KT WIND 2165FT 33007KT</v>
      </c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</row>
    <row r="22" spans="3:24">
      <c r="J22" s="82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</row>
    <row r="24" spans="3:24">
      <c r="J24" s="62" t="s">
        <v>65</v>
      </c>
      <c r="K24" s="62"/>
      <c r="L24" s="62"/>
      <c r="M24" s="62"/>
      <c r="N24" s="62"/>
      <c r="O24" s="26" cm="1">
        <f t="array" ref="O24">(CALC_TOD(D11,P18,N20))/3.28</f>
        <v>320.73170731707319</v>
      </c>
      <c r="Q24" s="62" t="s">
        <v>66</v>
      </c>
      <c r="R24" s="62"/>
      <c r="S24" s="62"/>
      <c r="T24" s="62"/>
      <c r="U24" s="62"/>
      <c r="V24" s="26" cm="1">
        <f t="array" ref="V24">(CALC_LDG(P18,N20))/3.28</f>
        <v>416.15853658536588</v>
      </c>
    </row>
    <row r="25" spans="3:24">
      <c r="J25" s="10" t="s">
        <v>67</v>
      </c>
      <c r="K25" s="28">
        <f>IF(K19="VRB", 0, ROUND(L19*COS(RADIANS(K18-K19)), 0))</f>
        <v>1</v>
      </c>
      <c r="L25" s="61" t="s">
        <v>68</v>
      </c>
      <c r="M25" s="61"/>
      <c r="N25" s="61"/>
      <c r="O25" s="26">
        <f>_xlfn.LET(_xlpm.Uncorr, O24, _xlpm.Wind, K25, _xlpm.HW_Corr, IF(_xlpm.Wind&lt;9, 0, (_xlpm.Wind/9)*0.1), _xlpm.TW_Corr, (ABS(_xlpm.Wind)/2)*0.1, _xlpm.Multiplier, IF(_xlpm.Wind&gt;=0, 1-_xlpm.HW_Corr, IF(_xlpm.Wind&gt;=-10, 1+_xlpm.TW_Corr, "LIMIT")), IF(_xlpm.Multiplier="LIMIT", "LIMIT OVERRIDE", ROUND((_xlpm.Uncorr*_xlpm.Multiplier) - _xlpm.Uncorr, 0)))</f>
        <v>0</v>
      </c>
      <c r="Q25" s="10" t="s">
        <v>67</v>
      </c>
      <c r="R25" s="25">
        <f>IF(K19="VRB", N19, ROUND(L19*COS(RADIANS(K18-K19)), 0))</f>
        <v>1</v>
      </c>
      <c r="S25" s="61" t="s">
        <v>69</v>
      </c>
      <c r="T25" s="61"/>
      <c r="U25" s="61"/>
      <c r="V25" s="25">
        <f>_xlfn.LET(_xlpm.Uncorr, V24, _xlpm.Wind, R25, _xlpm.HW_Corr, IF(_xlpm.Wind&lt;9, 0, (_xlpm.Wind/9)*0.1), _xlpm.TW_Corr, (ABS(_xlpm.Wind)/2)*0.1, _xlpm.Multiplier, IF(_xlpm.Wind&gt;=0, 1-_xlpm.HW_Corr, IF(_xlpm.Wind&gt;=-10, 1+_xlpm.TW_Corr, "LIMIT")), IF(_xlpm.Multiplier="LIMIT", "LIMIT OVERRIDE", ROUND((_xlpm.Uncorr*_xlpm.Multiplier) - _xlpm.Uncorr, 0)))</f>
        <v>0</v>
      </c>
    </row>
    <row r="26" spans="3:24">
      <c r="J26" s="10"/>
      <c r="K26" s="10"/>
      <c r="L26" s="10" t="s">
        <v>70</v>
      </c>
      <c r="M26" s="29">
        <v>6</v>
      </c>
      <c r="N26" s="10" t="s">
        <v>71</v>
      </c>
      <c r="O26" s="25" cm="1">
        <f t="array" ref="O26">_xlfn.LET(_xlpm.WindCorrDist, O24 + O25, _xlpm.BA, M26, _xlpm.Multiplier, _xlfn.SWITCH(_xlpm.BA, 6, 1, 5, 1, 4, 1.1, 3, 1.2, 2, 1.5, 1, 2, 0, "PROHIBITED", "INVALID"), IF(_xlpm.Multiplier="PROHIBITED", "PROHIBITED", IF(_xlpm.Multiplier="INVALID", "ENTER BA 0-6", ROUND((_xlpm.WindCorrDist * _xlpm.Multiplier) - _xlpm.WindCorrDist, 0))))</f>
        <v>0</v>
      </c>
      <c r="Q26" s="10"/>
      <c r="R26" s="10"/>
      <c r="S26" s="10" t="s">
        <v>72</v>
      </c>
      <c r="T26" s="29">
        <v>6</v>
      </c>
      <c r="U26" s="10" t="s">
        <v>71</v>
      </c>
      <c r="V26" s="25" cm="1">
        <f t="array" ref="V26">_xlfn.LET(_xlpm.WindCorrDist, V24 + V25, _xlpm.BA, T26, _xlpm.Multiplier, _xlfn.SWITCH(_xlpm.BA, 6, 1, 5, 1, 4, 1.1, 3, 1.2, 2, 1.5, 1, 2, 0, "PROHIBITED", "INVALID"), IF(_xlpm.Multiplier="PROHIBITED", "PROHIBITED", IF(_xlpm.Multiplier="INVALID", "ENTER BA 0-6", ROUND((_xlpm.WindCorrDist * _xlpm.Multiplier) - _xlpm.WindCorrDist, 0))))</f>
        <v>0</v>
      </c>
    </row>
    <row r="27" spans="3:24">
      <c r="J27" s="65" t="s">
        <v>73</v>
      </c>
      <c r="K27" s="9"/>
      <c r="L27" s="9"/>
      <c r="M27" s="9"/>
      <c r="N27" s="9"/>
      <c r="O27" s="11"/>
      <c r="Q27" s="65" t="s">
        <v>74</v>
      </c>
      <c r="R27" s="9"/>
      <c r="S27" s="9"/>
      <c r="T27" s="9"/>
      <c r="U27" s="9"/>
      <c r="V27" s="9"/>
    </row>
    <row r="28" spans="3:24">
      <c r="J28" s="66"/>
      <c r="K28" s="9"/>
      <c r="L28" s="9"/>
      <c r="M28" s="9"/>
      <c r="N28" s="9"/>
      <c r="O28" s="11"/>
      <c r="Q28" s="66"/>
      <c r="R28" s="9"/>
      <c r="S28" s="9"/>
      <c r="T28" s="9"/>
      <c r="U28" s="9"/>
      <c r="V28" s="9"/>
    </row>
    <row r="29" spans="3:24">
      <c r="J29" s="66"/>
      <c r="K29" s="9"/>
      <c r="L29" s="9"/>
      <c r="M29" s="9"/>
      <c r="N29" s="9"/>
      <c r="O29" s="11"/>
      <c r="Q29" s="66"/>
      <c r="R29" s="9"/>
      <c r="S29" s="9"/>
      <c r="T29" s="9"/>
      <c r="U29" s="9"/>
      <c r="V29" s="9"/>
    </row>
    <row r="30" spans="3:24">
      <c r="J30" s="61" t="s">
        <v>75</v>
      </c>
      <c r="K30" s="61"/>
      <c r="L30" s="61"/>
      <c r="M30" s="61"/>
      <c r="N30" s="61"/>
      <c r="O30" s="26">
        <f>SUM(O24:O29)</f>
        <v>320.73170731707319</v>
      </c>
      <c r="Q30" s="61" t="s">
        <v>76</v>
      </c>
      <c r="R30" s="61"/>
      <c r="S30" s="61"/>
      <c r="T30" s="61"/>
      <c r="U30" s="61"/>
      <c r="V30" s="26">
        <f>SUM(V24:V29)</f>
        <v>416.15853658536588</v>
      </c>
    </row>
    <row r="31" spans="3:24">
      <c r="J31" s="61" t="s">
        <v>77</v>
      </c>
      <c r="K31" s="61"/>
      <c r="L31" s="30">
        <v>0.25</v>
      </c>
      <c r="M31" s="62" t="s">
        <v>78</v>
      </c>
      <c r="N31" s="63"/>
      <c r="O31" s="44">
        <f>ROUND(O30 * (1 + L31), 0)</f>
        <v>401</v>
      </c>
      <c r="Q31" s="61" t="s">
        <v>77</v>
      </c>
      <c r="R31" s="61"/>
      <c r="S31" s="31">
        <v>0.43</v>
      </c>
      <c r="T31" s="62" t="s">
        <v>79</v>
      </c>
      <c r="U31" s="63"/>
      <c r="V31" s="43">
        <f>ROUND(V30 * (1 + S31), 0)</f>
        <v>595</v>
      </c>
    </row>
    <row r="32" spans="3:24">
      <c r="N32" s="45" t="s">
        <v>80</v>
      </c>
      <c r="O32" s="46">
        <f>_xlfn.XLOOKUP(TRIM(N16)&amp;TRIM(K17), NavData!U:U, NavData!R:R, "RWY NOT FOUND")</f>
        <v>2443</v>
      </c>
      <c r="U32" s="45" t="s">
        <v>81</v>
      </c>
      <c r="V32" s="46">
        <f>_xlfn.XLOOKUP(TRIM(N16)&amp;TRIM(K17), NavData!U:U, NavData!T:T, "RWY NOT FOUND")</f>
        <v>2001</v>
      </c>
    </row>
    <row r="34" spans="10:16" ht="16.5" customHeight="1">
      <c r="O34" s="84" t="s">
        <v>82</v>
      </c>
      <c r="P34" s="84"/>
    </row>
    <row r="35" spans="10:16">
      <c r="O35" s="84"/>
      <c r="P35" s="84"/>
    </row>
    <row r="36" spans="10:16">
      <c r="O36" s="84"/>
      <c r="P36" s="84"/>
    </row>
    <row r="37" spans="10:16">
      <c r="J37" t="s">
        <v>83</v>
      </c>
    </row>
  </sheetData>
  <mergeCells count="75">
    <mergeCell ref="A15:C15"/>
    <mergeCell ref="E15:F15"/>
    <mergeCell ref="G15:H15"/>
    <mergeCell ref="E8:F8"/>
    <mergeCell ref="E9:F9"/>
    <mergeCell ref="G8:H8"/>
    <mergeCell ref="G9:H9"/>
    <mergeCell ref="G10:H10"/>
    <mergeCell ref="A10:C10"/>
    <mergeCell ref="A11:C11"/>
    <mergeCell ref="A12:C12"/>
    <mergeCell ref="A13:C13"/>
    <mergeCell ref="G11:H11"/>
    <mergeCell ref="N11:P11"/>
    <mergeCell ref="O34:P36"/>
    <mergeCell ref="A8:C8"/>
    <mergeCell ref="E7:F7"/>
    <mergeCell ref="J1:O1"/>
    <mergeCell ref="A3:C3"/>
    <mergeCell ref="A4:C4"/>
    <mergeCell ref="J3:L3"/>
    <mergeCell ref="J4:L4"/>
    <mergeCell ref="E2:F2"/>
    <mergeCell ref="E3:F3"/>
    <mergeCell ref="E4:F4"/>
    <mergeCell ref="G2:H2"/>
    <mergeCell ref="G3:H3"/>
    <mergeCell ref="A1:H1"/>
    <mergeCell ref="A2:B2"/>
    <mergeCell ref="E6:F6"/>
    <mergeCell ref="G6:H6"/>
    <mergeCell ref="G7:H7"/>
    <mergeCell ref="G5:H5"/>
    <mergeCell ref="A6:C6"/>
    <mergeCell ref="A7:C7"/>
    <mergeCell ref="S25:U25"/>
    <mergeCell ref="N12:O12"/>
    <mergeCell ref="Q24:U24"/>
    <mergeCell ref="E12:F12"/>
    <mergeCell ref="E13:F13"/>
    <mergeCell ref="E14:F14"/>
    <mergeCell ref="G12:H12"/>
    <mergeCell ref="J21:X22"/>
    <mergeCell ref="R4:S4"/>
    <mergeCell ref="A14:C14"/>
    <mergeCell ref="E10:F10"/>
    <mergeCell ref="E11:F11"/>
    <mergeCell ref="G14:H14"/>
    <mergeCell ref="G13:H13"/>
    <mergeCell ref="J5:L5"/>
    <mergeCell ref="J7:L7"/>
    <mergeCell ref="J6:L6"/>
    <mergeCell ref="J8:L8"/>
    <mergeCell ref="J9:L9"/>
    <mergeCell ref="A9:C9"/>
    <mergeCell ref="A5:C5"/>
    <mergeCell ref="N13:O13"/>
    <mergeCell ref="G4:H4"/>
    <mergeCell ref="E5:F5"/>
    <mergeCell ref="Q30:U30"/>
    <mergeCell ref="Q31:R31"/>
    <mergeCell ref="T31:U31"/>
    <mergeCell ref="C16:H16"/>
    <mergeCell ref="J27:J29"/>
    <mergeCell ref="J30:N30"/>
    <mergeCell ref="J31:K31"/>
    <mergeCell ref="M31:N31"/>
    <mergeCell ref="L25:N25"/>
    <mergeCell ref="J24:N24"/>
    <mergeCell ref="J16:L16"/>
    <mergeCell ref="K17:L17"/>
    <mergeCell ref="K20:L20"/>
    <mergeCell ref="K18:L18"/>
    <mergeCell ref="Q27:Q29"/>
    <mergeCell ref="T16:U16"/>
  </mergeCells>
  <conditionalFormatting sqref="D11">
    <cfRule type="cellIs" dxfId="7" priority="7" operator="greaterThan">
      <formula>3100</formula>
    </cfRule>
  </conditionalFormatting>
  <conditionalFormatting sqref="D14">
    <cfRule type="cellIs" dxfId="6" priority="4" operator="greaterThan">
      <formula>2950</formula>
    </cfRule>
    <cfRule type="cellIs" dxfId="5" priority="6" operator="greaterThan">
      <formula>2950</formula>
    </cfRule>
  </conditionalFormatting>
  <conditionalFormatting sqref="D3:E5 G3:G5 D7:E8 G7:G8 D10:E10 G10">
    <cfRule type="cellIs" dxfId="4" priority="10" operator="equal">
      <formula>0</formula>
    </cfRule>
  </conditionalFormatting>
  <conditionalFormatting sqref="N13">
    <cfRule type="cellIs" dxfId="3" priority="3" operator="greaterThan">
      <formula>0</formula>
    </cfRule>
    <cfRule type="cellIs" dxfId="2" priority="5" operator="greaterThan">
      <formula>0</formula>
    </cfRule>
  </conditionalFormatting>
  <conditionalFormatting sqref="O31">
    <cfRule type="cellIs" dxfId="1" priority="2" operator="greaterThan">
      <formula>$O$32</formula>
    </cfRule>
  </conditionalFormatting>
  <conditionalFormatting sqref="V31">
    <cfRule type="cellIs" dxfId="0" priority="1" operator="greaterThan">
      <formula>$V$32</formula>
    </cfRule>
  </conditionalFormatting>
  <dataValidations count="1">
    <dataValidation type="list" allowBlank="1" showInputMessage="1" showErrorMessage="1" sqref="K17:L17" xr:uid="{C45B2B79-4ACB-42F0-8E01-07C6735DE756}">
      <formula1>_xlfn.ANCHORARRAY($Z$1)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CD5871-8849-4880-859B-80767EE5B915}">
          <x14:formula1>
            <xm:f>'AC REG'!$A$3:$A$7</xm:f>
          </x14:formula1>
          <xm:sqref>A2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F27B-C3B2-4B0C-BFC1-973D7072A7BF}">
  <dimension ref="A1:AJ91"/>
  <sheetViews>
    <sheetView topLeftCell="X1" zoomScale="109" zoomScaleNormal="85" zoomScaleSheetLayoutView="100" workbookViewId="0">
      <selection activeCell="AE22" sqref="AE22"/>
    </sheetView>
  </sheetViews>
  <sheetFormatPr defaultColWidth="9" defaultRowHeight="14.25"/>
  <cols>
    <col min="3" max="4" width="9" customWidth="1"/>
    <col min="11" max="11" width="8.3984375" customWidth="1"/>
    <col min="12" max="13" width="7.59765625" customWidth="1"/>
    <col min="26" max="26" width="13.265625" customWidth="1"/>
  </cols>
  <sheetData>
    <row r="1" spans="1:36">
      <c r="A1" s="3" t="s">
        <v>84</v>
      </c>
      <c r="B1" s="3" t="s">
        <v>85</v>
      </c>
      <c r="C1" s="3" t="s">
        <v>86</v>
      </c>
      <c r="D1" s="3" t="s">
        <v>87</v>
      </c>
      <c r="F1" s="3" t="s">
        <v>85</v>
      </c>
      <c r="G1" s="3" t="s">
        <v>88</v>
      </c>
      <c r="H1" s="3" t="s">
        <v>89</v>
      </c>
      <c r="K1" s="3"/>
      <c r="L1" s="3"/>
      <c r="M1" s="3"/>
      <c r="N1" s="3"/>
      <c r="P1" s="55" t="s">
        <v>90</v>
      </c>
      <c r="Q1" s="55" t="s">
        <v>91</v>
      </c>
      <c r="R1" s="55" t="s">
        <v>92</v>
      </c>
      <c r="S1" s="55" t="s">
        <v>93</v>
      </c>
      <c r="T1" s="55" t="s">
        <v>91</v>
      </c>
      <c r="U1" s="55" t="s">
        <v>92</v>
      </c>
      <c r="V1" s="55" t="s">
        <v>94</v>
      </c>
      <c r="W1" s="55" t="s">
        <v>91</v>
      </c>
      <c r="X1" s="55" t="s">
        <v>92</v>
      </c>
      <c r="Z1" s="56" t="s">
        <v>202</v>
      </c>
      <c r="AA1" t="s">
        <v>192</v>
      </c>
      <c r="AB1" t="s">
        <v>193</v>
      </c>
      <c r="AC1" t="s">
        <v>194</v>
      </c>
      <c r="AD1" t="s">
        <v>195</v>
      </c>
      <c r="AE1" t="s">
        <v>197</v>
      </c>
      <c r="AF1" t="s">
        <v>196</v>
      </c>
      <c r="AG1" t="s">
        <v>198</v>
      </c>
      <c r="AH1" t="s">
        <v>199</v>
      </c>
      <c r="AI1" t="s">
        <v>200</v>
      </c>
      <c r="AJ1" t="s">
        <v>201</v>
      </c>
    </row>
    <row r="2" spans="1:36">
      <c r="A2">
        <v>3100</v>
      </c>
      <c r="B2">
        <v>0</v>
      </c>
      <c r="C2">
        <v>0</v>
      </c>
      <c r="D2">
        <v>1365</v>
      </c>
      <c r="F2">
        <v>0</v>
      </c>
      <c r="G2">
        <v>0</v>
      </c>
      <c r="H2">
        <v>1300</v>
      </c>
      <c r="P2" s="55"/>
      <c r="Q2" s="55">
        <v>33</v>
      </c>
      <c r="R2" s="55">
        <v>1800</v>
      </c>
      <c r="S2" s="55"/>
      <c r="T2" s="55">
        <v>34</v>
      </c>
      <c r="U2" s="55">
        <v>1800</v>
      </c>
      <c r="V2" s="55"/>
      <c r="W2" s="55">
        <v>39</v>
      </c>
      <c r="X2" s="55">
        <v>2950</v>
      </c>
      <c r="AA2">
        <v>0</v>
      </c>
      <c r="AB2">
        <v>-5</v>
      </c>
      <c r="AC2">
        <v>15</v>
      </c>
      <c r="AD2">
        <v>35</v>
      </c>
      <c r="AE2">
        <v>114</v>
      </c>
      <c r="AF2">
        <v>114</v>
      </c>
      <c r="AG2">
        <v>114</v>
      </c>
      <c r="AH2">
        <v>10.199999999999999</v>
      </c>
      <c r="AI2">
        <v>9.9</v>
      </c>
      <c r="AJ2">
        <v>9.6999999999999993</v>
      </c>
    </row>
    <row r="3" spans="1:36" ht="14.25" customHeight="1">
      <c r="A3">
        <v>3100</v>
      </c>
      <c r="B3">
        <v>0</v>
      </c>
      <c r="C3">
        <v>10</v>
      </c>
      <c r="D3">
        <v>1460</v>
      </c>
      <c r="F3">
        <v>0</v>
      </c>
      <c r="G3">
        <v>10</v>
      </c>
      <c r="H3">
        <v>1335</v>
      </c>
      <c r="P3" s="55"/>
      <c r="Q3" s="55">
        <v>33</v>
      </c>
      <c r="R3" s="55">
        <v>2225</v>
      </c>
      <c r="S3" s="55"/>
      <c r="T3" s="55">
        <v>34</v>
      </c>
      <c r="U3" s="55">
        <v>2400</v>
      </c>
      <c r="V3" s="55"/>
      <c r="W3" s="55">
        <v>46</v>
      </c>
      <c r="X3" s="55">
        <v>2950</v>
      </c>
      <c r="AA3">
        <v>2000</v>
      </c>
      <c r="AB3">
        <v>-9</v>
      </c>
      <c r="AC3">
        <v>11</v>
      </c>
      <c r="AD3">
        <v>31</v>
      </c>
      <c r="AE3">
        <v>118</v>
      </c>
      <c r="AF3">
        <v>118</v>
      </c>
      <c r="AG3">
        <v>118</v>
      </c>
      <c r="AH3">
        <v>10.5</v>
      </c>
      <c r="AI3">
        <v>10.199999999999999</v>
      </c>
      <c r="AJ3">
        <v>9.9</v>
      </c>
    </row>
    <row r="4" spans="1:36">
      <c r="A4">
        <v>3100</v>
      </c>
      <c r="B4">
        <v>0</v>
      </c>
      <c r="C4">
        <v>20</v>
      </c>
      <c r="D4">
        <v>1570</v>
      </c>
      <c r="F4">
        <v>0</v>
      </c>
      <c r="G4">
        <v>20</v>
      </c>
      <c r="H4">
        <v>1365</v>
      </c>
      <c r="P4" s="55"/>
      <c r="Q4" s="55">
        <v>35.799999999999997</v>
      </c>
      <c r="R4" s="55">
        <v>2700</v>
      </c>
      <c r="S4" s="55"/>
      <c r="T4" s="55"/>
      <c r="U4" s="55"/>
      <c r="V4" s="55"/>
      <c r="W4" s="55"/>
      <c r="X4" s="55"/>
      <c r="AA4">
        <v>4000</v>
      </c>
      <c r="AB4">
        <v>-13</v>
      </c>
      <c r="AC4">
        <v>7</v>
      </c>
      <c r="AD4">
        <v>27</v>
      </c>
      <c r="AE4">
        <v>122</v>
      </c>
      <c r="AF4">
        <v>122</v>
      </c>
      <c r="AG4">
        <v>121</v>
      </c>
      <c r="AH4">
        <v>10.7</v>
      </c>
      <c r="AI4">
        <v>10.4</v>
      </c>
      <c r="AJ4">
        <v>10.199999999999999</v>
      </c>
    </row>
    <row r="5" spans="1:36">
      <c r="A5">
        <v>3100</v>
      </c>
      <c r="B5">
        <v>0</v>
      </c>
      <c r="C5">
        <v>30</v>
      </c>
      <c r="D5">
        <v>1680</v>
      </c>
      <c r="F5">
        <v>0</v>
      </c>
      <c r="G5">
        <v>30</v>
      </c>
      <c r="H5">
        <v>1400</v>
      </c>
      <c r="P5" s="55"/>
      <c r="Q5" s="55">
        <v>41</v>
      </c>
      <c r="R5" s="55">
        <v>3100</v>
      </c>
      <c r="S5" s="55"/>
      <c r="T5" s="55"/>
      <c r="U5" s="55"/>
      <c r="V5" s="55"/>
      <c r="W5" s="55"/>
      <c r="X5" s="55"/>
      <c r="AA5">
        <v>6000</v>
      </c>
      <c r="AB5">
        <v>-17</v>
      </c>
      <c r="AC5">
        <v>3</v>
      </c>
      <c r="AD5">
        <v>23</v>
      </c>
      <c r="AE5">
        <v>126</v>
      </c>
      <c r="AF5">
        <v>126</v>
      </c>
      <c r="AG5">
        <v>125</v>
      </c>
      <c r="AH5">
        <v>11</v>
      </c>
      <c r="AI5">
        <v>10.7</v>
      </c>
      <c r="AJ5">
        <v>10.4</v>
      </c>
    </row>
    <row r="6" spans="1:36">
      <c r="A6">
        <v>3100</v>
      </c>
      <c r="B6">
        <v>0</v>
      </c>
      <c r="C6">
        <v>40</v>
      </c>
      <c r="D6">
        <v>1800</v>
      </c>
      <c r="F6">
        <v>0</v>
      </c>
      <c r="G6">
        <v>40</v>
      </c>
      <c r="H6">
        <v>1435</v>
      </c>
      <c r="P6" s="55"/>
      <c r="Q6" s="55">
        <v>46</v>
      </c>
      <c r="R6" s="55">
        <v>3100</v>
      </c>
      <c r="S6" s="55"/>
      <c r="T6" s="55"/>
      <c r="U6" s="55"/>
      <c r="V6" s="55"/>
      <c r="W6" s="55"/>
      <c r="X6" s="55"/>
      <c r="Z6" s="56"/>
      <c r="AA6">
        <v>8000</v>
      </c>
      <c r="AB6">
        <v>-21</v>
      </c>
      <c r="AC6">
        <v>-1</v>
      </c>
      <c r="AD6">
        <v>19</v>
      </c>
      <c r="AE6">
        <v>130</v>
      </c>
      <c r="AF6">
        <v>130</v>
      </c>
      <c r="AG6">
        <v>129</v>
      </c>
      <c r="AH6">
        <v>11.3</v>
      </c>
      <c r="AI6">
        <v>11</v>
      </c>
      <c r="AJ6">
        <v>10.7</v>
      </c>
    </row>
    <row r="7" spans="1:36">
      <c r="A7">
        <v>3100</v>
      </c>
      <c r="B7">
        <v>1000</v>
      </c>
      <c r="C7">
        <v>0</v>
      </c>
      <c r="D7">
        <v>1490</v>
      </c>
      <c r="F7">
        <v>1000</v>
      </c>
      <c r="G7">
        <v>0</v>
      </c>
      <c r="H7">
        <v>1335</v>
      </c>
      <c r="P7" s="55"/>
      <c r="Q7" s="55">
        <v>46</v>
      </c>
      <c r="R7" s="55">
        <v>1800</v>
      </c>
      <c r="S7" s="55"/>
      <c r="T7" s="55"/>
      <c r="U7" s="55"/>
      <c r="V7" s="55"/>
      <c r="W7" s="55"/>
      <c r="X7" s="55"/>
      <c r="AA7">
        <v>10000</v>
      </c>
      <c r="AB7">
        <v>-25</v>
      </c>
      <c r="AC7">
        <v>-5</v>
      </c>
      <c r="AD7">
        <v>15</v>
      </c>
      <c r="AE7">
        <v>134</v>
      </c>
      <c r="AF7">
        <v>134</v>
      </c>
      <c r="AG7">
        <v>133</v>
      </c>
      <c r="AH7">
        <v>11.6</v>
      </c>
      <c r="AI7">
        <v>11.3</v>
      </c>
      <c r="AJ7">
        <v>10.9</v>
      </c>
    </row>
    <row r="8" spans="1:36">
      <c r="A8">
        <v>3100</v>
      </c>
      <c r="B8">
        <v>1000</v>
      </c>
      <c r="C8">
        <v>10</v>
      </c>
      <c r="D8">
        <v>1600</v>
      </c>
      <c r="F8">
        <v>1000</v>
      </c>
      <c r="G8">
        <v>10</v>
      </c>
      <c r="H8">
        <v>1365</v>
      </c>
      <c r="P8" s="55"/>
      <c r="Q8" s="55">
        <v>33</v>
      </c>
      <c r="R8" s="55">
        <v>1800</v>
      </c>
      <c r="S8" s="55"/>
      <c r="T8" s="55"/>
      <c r="U8" s="55"/>
      <c r="V8" s="55"/>
      <c r="W8" s="55"/>
      <c r="X8" s="55"/>
      <c r="Z8" s="56" t="s">
        <v>203</v>
      </c>
      <c r="AA8">
        <v>12000</v>
      </c>
      <c r="AB8">
        <v>-29</v>
      </c>
      <c r="AC8">
        <v>-9</v>
      </c>
      <c r="AD8">
        <v>11</v>
      </c>
      <c r="AE8">
        <v>128</v>
      </c>
      <c r="AF8">
        <v>128</v>
      </c>
      <c r="AG8">
        <v>127</v>
      </c>
      <c r="AH8">
        <v>10.6</v>
      </c>
      <c r="AI8">
        <v>10.3</v>
      </c>
      <c r="AJ8">
        <v>10</v>
      </c>
    </row>
    <row r="9" spans="1:36">
      <c r="A9">
        <v>3100</v>
      </c>
      <c r="B9">
        <v>1000</v>
      </c>
      <c r="C9">
        <v>20</v>
      </c>
      <c r="D9">
        <v>1720</v>
      </c>
      <c r="F9">
        <v>1000</v>
      </c>
      <c r="G9">
        <v>20</v>
      </c>
      <c r="H9">
        <v>1400</v>
      </c>
      <c r="P9" t="s">
        <v>190</v>
      </c>
      <c r="R9" t="s">
        <v>191</v>
      </c>
      <c r="Z9" s="56" t="s">
        <v>204</v>
      </c>
      <c r="AA9">
        <v>14000</v>
      </c>
      <c r="AB9">
        <v>-33</v>
      </c>
      <c r="AC9">
        <v>-13</v>
      </c>
      <c r="AD9">
        <v>7</v>
      </c>
      <c r="AE9">
        <v>120</v>
      </c>
      <c r="AF9">
        <v>119</v>
      </c>
      <c r="AG9">
        <v>118</v>
      </c>
      <c r="AH9">
        <v>9.6</v>
      </c>
      <c r="AI9">
        <v>9.3000000000000007</v>
      </c>
      <c r="AJ9">
        <v>9</v>
      </c>
    </row>
    <row r="10" spans="1:36">
      <c r="A10">
        <v>3100</v>
      </c>
      <c r="B10">
        <v>1000</v>
      </c>
      <c r="C10">
        <v>30</v>
      </c>
      <c r="D10">
        <v>1845</v>
      </c>
      <c r="F10">
        <v>1000</v>
      </c>
      <c r="G10">
        <v>30</v>
      </c>
      <c r="H10">
        <v>1440</v>
      </c>
    </row>
    <row r="11" spans="1:36">
      <c r="A11">
        <v>3100</v>
      </c>
      <c r="B11">
        <v>1000</v>
      </c>
      <c r="C11">
        <v>40</v>
      </c>
      <c r="D11">
        <v>1980</v>
      </c>
      <c r="F11">
        <v>1000</v>
      </c>
      <c r="G11">
        <v>40</v>
      </c>
      <c r="H11">
        <v>1475</v>
      </c>
    </row>
    <row r="12" spans="1:36">
      <c r="A12">
        <v>3100</v>
      </c>
      <c r="B12">
        <v>2000</v>
      </c>
      <c r="C12">
        <v>0</v>
      </c>
      <c r="D12">
        <v>1635</v>
      </c>
      <c r="F12">
        <v>2000</v>
      </c>
      <c r="G12">
        <v>0</v>
      </c>
      <c r="H12">
        <v>1370</v>
      </c>
    </row>
    <row r="13" spans="1:36">
      <c r="A13">
        <v>3100</v>
      </c>
      <c r="B13">
        <v>2000</v>
      </c>
      <c r="C13">
        <v>10</v>
      </c>
      <c r="D13">
        <v>1760</v>
      </c>
      <c r="F13">
        <v>2000</v>
      </c>
      <c r="G13">
        <v>10</v>
      </c>
      <c r="H13">
        <v>1405</v>
      </c>
    </row>
    <row r="14" spans="1:36">
      <c r="A14">
        <v>3100</v>
      </c>
      <c r="B14">
        <v>2000</v>
      </c>
      <c r="C14">
        <v>20</v>
      </c>
      <c r="D14">
        <v>1890</v>
      </c>
      <c r="F14">
        <v>2000</v>
      </c>
      <c r="G14">
        <v>20</v>
      </c>
      <c r="H14">
        <v>1440</v>
      </c>
      <c r="K14" s="8"/>
    </row>
    <row r="15" spans="1:36">
      <c r="A15">
        <v>3100</v>
      </c>
      <c r="B15">
        <v>2000</v>
      </c>
      <c r="C15">
        <v>30</v>
      </c>
      <c r="D15">
        <v>2035</v>
      </c>
      <c r="F15">
        <v>2000</v>
      </c>
      <c r="G15">
        <v>30</v>
      </c>
      <c r="H15">
        <v>1480</v>
      </c>
    </row>
    <row r="16" spans="1:36">
      <c r="A16">
        <v>3100</v>
      </c>
      <c r="B16">
        <v>2000</v>
      </c>
      <c r="C16">
        <v>40</v>
      </c>
      <c r="D16">
        <v>2190</v>
      </c>
      <c r="F16">
        <v>2000</v>
      </c>
      <c r="G16">
        <v>40</v>
      </c>
      <c r="H16">
        <v>1515</v>
      </c>
    </row>
    <row r="17" spans="1:8">
      <c r="A17">
        <v>3100</v>
      </c>
      <c r="B17">
        <v>3000</v>
      </c>
      <c r="C17">
        <v>0</v>
      </c>
      <c r="D17">
        <v>1800</v>
      </c>
      <c r="F17">
        <v>3000</v>
      </c>
      <c r="G17">
        <v>0</v>
      </c>
      <c r="H17">
        <v>1410</v>
      </c>
    </row>
    <row r="18" spans="1:8">
      <c r="A18">
        <v>3100</v>
      </c>
      <c r="B18">
        <v>3000</v>
      </c>
      <c r="C18">
        <v>10</v>
      </c>
      <c r="D18">
        <v>1940</v>
      </c>
      <c r="F18">
        <v>3000</v>
      </c>
      <c r="G18">
        <v>10</v>
      </c>
      <c r="H18">
        <v>1445</v>
      </c>
    </row>
    <row r="19" spans="1:8">
      <c r="A19">
        <v>3100</v>
      </c>
      <c r="B19">
        <v>3000</v>
      </c>
      <c r="C19">
        <v>20</v>
      </c>
      <c r="D19">
        <v>2090</v>
      </c>
      <c r="F19">
        <v>3000</v>
      </c>
      <c r="G19">
        <v>20</v>
      </c>
      <c r="H19">
        <v>1485</v>
      </c>
    </row>
    <row r="20" spans="1:8">
      <c r="A20">
        <v>3100</v>
      </c>
      <c r="B20">
        <v>3000</v>
      </c>
      <c r="C20">
        <v>30</v>
      </c>
      <c r="D20">
        <v>2255</v>
      </c>
      <c r="F20">
        <v>3000</v>
      </c>
      <c r="G20">
        <v>30</v>
      </c>
      <c r="H20">
        <v>1525</v>
      </c>
    </row>
    <row r="21" spans="1:8">
      <c r="A21">
        <v>3100</v>
      </c>
      <c r="B21">
        <v>3000</v>
      </c>
      <c r="C21">
        <v>40</v>
      </c>
      <c r="D21">
        <v>2435</v>
      </c>
      <c r="F21">
        <v>3000</v>
      </c>
      <c r="G21">
        <v>40</v>
      </c>
      <c r="H21">
        <v>1560</v>
      </c>
    </row>
    <row r="22" spans="1:8">
      <c r="A22">
        <v>3100</v>
      </c>
      <c r="B22">
        <v>4000</v>
      </c>
      <c r="C22">
        <v>0</v>
      </c>
      <c r="D22">
        <v>1990</v>
      </c>
      <c r="F22">
        <v>4000</v>
      </c>
      <c r="G22">
        <v>0</v>
      </c>
      <c r="H22">
        <v>1450</v>
      </c>
    </row>
    <row r="23" spans="1:8">
      <c r="A23">
        <v>3100</v>
      </c>
      <c r="B23">
        <v>4000</v>
      </c>
      <c r="C23">
        <v>10</v>
      </c>
      <c r="D23">
        <v>2150</v>
      </c>
      <c r="F23">
        <v>4000</v>
      </c>
      <c r="G23">
        <v>10</v>
      </c>
      <c r="H23">
        <v>1485</v>
      </c>
    </row>
    <row r="24" spans="1:8">
      <c r="A24">
        <v>3100</v>
      </c>
      <c r="B24">
        <v>4000</v>
      </c>
      <c r="C24">
        <v>20</v>
      </c>
      <c r="D24">
        <v>2325</v>
      </c>
      <c r="F24">
        <v>4000</v>
      </c>
      <c r="G24">
        <v>20</v>
      </c>
      <c r="H24">
        <v>1525</v>
      </c>
    </row>
    <row r="25" spans="1:8">
      <c r="A25">
        <v>3100</v>
      </c>
      <c r="B25">
        <v>4000</v>
      </c>
      <c r="C25">
        <v>30</v>
      </c>
      <c r="D25">
        <v>2515</v>
      </c>
      <c r="F25">
        <v>4000</v>
      </c>
      <c r="G25">
        <v>30</v>
      </c>
      <c r="H25">
        <v>1565</v>
      </c>
    </row>
    <row r="26" spans="1:8">
      <c r="A26">
        <v>3100</v>
      </c>
      <c r="B26">
        <v>4000</v>
      </c>
      <c r="C26">
        <v>40</v>
      </c>
      <c r="D26">
        <v>2720</v>
      </c>
      <c r="F26">
        <v>4000</v>
      </c>
      <c r="G26">
        <v>40</v>
      </c>
      <c r="H26">
        <v>1600</v>
      </c>
    </row>
    <row r="27" spans="1:8">
      <c r="A27">
        <v>3100</v>
      </c>
      <c r="B27">
        <v>5000</v>
      </c>
      <c r="C27">
        <v>0</v>
      </c>
      <c r="D27">
        <v>2210</v>
      </c>
      <c r="F27">
        <v>5000</v>
      </c>
      <c r="G27">
        <v>0</v>
      </c>
      <c r="H27">
        <v>1485</v>
      </c>
    </row>
    <row r="28" spans="1:8">
      <c r="A28">
        <v>3100</v>
      </c>
      <c r="B28">
        <v>5000</v>
      </c>
      <c r="C28">
        <v>10</v>
      </c>
      <c r="D28">
        <v>2395</v>
      </c>
      <c r="F28">
        <v>5000</v>
      </c>
      <c r="G28">
        <v>10</v>
      </c>
      <c r="H28">
        <v>1525</v>
      </c>
    </row>
    <row r="29" spans="1:8">
      <c r="A29">
        <v>3100</v>
      </c>
      <c r="B29">
        <v>5000</v>
      </c>
      <c r="C29">
        <v>20</v>
      </c>
      <c r="D29">
        <v>2595</v>
      </c>
      <c r="F29">
        <v>5000</v>
      </c>
      <c r="G29">
        <v>20</v>
      </c>
      <c r="H29">
        <v>1565</v>
      </c>
    </row>
    <row r="30" spans="1:8">
      <c r="A30">
        <v>3100</v>
      </c>
      <c r="B30">
        <v>5000</v>
      </c>
      <c r="C30">
        <v>30</v>
      </c>
      <c r="D30">
        <v>2820</v>
      </c>
      <c r="F30">
        <v>5000</v>
      </c>
      <c r="G30">
        <v>30</v>
      </c>
      <c r="H30">
        <v>1610</v>
      </c>
    </row>
    <row r="31" spans="1:8">
      <c r="A31">
        <v>3100</v>
      </c>
      <c r="B31">
        <v>5000</v>
      </c>
      <c r="C31">
        <v>40</v>
      </c>
      <c r="D31">
        <v>3070</v>
      </c>
      <c r="F31">
        <v>5000</v>
      </c>
      <c r="G31">
        <v>40</v>
      </c>
      <c r="H31">
        <v>1650</v>
      </c>
    </row>
    <row r="32" spans="1:8">
      <c r="A32">
        <v>2700</v>
      </c>
      <c r="B32">
        <v>0</v>
      </c>
      <c r="C32">
        <v>0</v>
      </c>
      <c r="D32">
        <v>995</v>
      </c>
    </row>
    <row r="33" spans="1:4">
      <c r="A33">
        <v>2700</v>
      </c>
      <c r="B33">
        <v>0</v>
      </c>
      <c r="C33">
        <v>10</v>
      </c>
      <c r="D33">
        <v>1065</v>
      </c>
    </row>
    <row r="34" spans="1:4">
      <c r="A34">
        <v>2700</v>
      </c>
      <c r="B34">
        <v>0</v>
      </c>
      <c r="C34">
        <v>20</v>
      </c>
      <c r="D34">
        <v>1135</v>
      </c>
    </row>
    <row r="35" spans="1:4">
      <c r="A35">
        <v>2700</v>
      </c>
      <c r="B35">
        <v>0</v>
      </c>
      <c r="C35">
        <v>30</v>
      </c>
      <c r="D35">
        <v>1215</v>
      </c>
    </row>
    <row r="36" spans="1:4">
      <c r="A36">
        <v>2700</v>
      </c>
      <c r="B36">
        <v>0</v>
      </c>
      <c r="C36">
        <v>40</v>
      </c>
      <c r="D36">
        <v>1295</v>
      </c>
    </row>
    <row r="37" spans="1:4">
      <c r="A37">
        <v>2700</v>
      </c>
      <c r="B37">
        <v>1000</v>
      </c>
      <c r="C37">
        <v>0</v>
      </c>
      <c r="D37">
        <v>1080</v>
      </c>
    </row>
    <row r="38" spans="1:4">
      <c r="A38">
        <v>2700</v>
      </c>
      <c r="B38">
        <v>1000</v>
      </c>
      <c r="C38">
        <v>10</v>
      </c>
      <c r="D38">
        <v>1155</v>
      </c>
    </row>
    <row r="39" spans="1:4">
      <c r="A39">
        <v>2700</v>
      </c>
      <c r="B39">
        <v>1000</v>
      </c>
      <c r="C39">
        <v>20</v>
      </c>
      <c r="D39">
        <v>1235</v>
      </c>
    </row>
    <row r="40" spans="1:4">
      <c r="A40">
        <v>2700</v>
      </c>
      <c r="B40">
        <v>1000</v>
      </c>
      <c r="C40">
        <v>30</v>
      </c>
      <c r="D40">
        <v>1320</v>
      </c>
    </row>
    <row r="41" spans="1:4">
      <c r="A41">
        <v>2700</v>
      </c>
      <c r="B41">
        <v>1000</v>
      </c>
      <c r="C41">
        <v>40</v>
      </c>
      <c r="D41">
        <v>1410</v>
      </c>
    </row>
    <row r="42" spans="1:4">
      <c r="A42">
        <v>2700</v>
      </c>
      <c r="B42">
        <v>2000</v>
      </c>
      <c r="C42">
        <v>0</v>
      </c>
      <c r="D42">
        <v>1180</v>
      </c>
    </row>
    <row r="43" spans="1:4">
      <c r="A43">
        <v>2700</v>
      </c>
      <c r="B43">
        <v>2000</v>
      </c>
      <c r="C43">
        <v>10</v>
      </c>
      <c r="D43">
        <v>1260</v>
      </c>
    </row>
    <row r="44" spans="1:4">
      <c r="A44">
        <v>2700</v>
      </c>
      <c r="B44">
        <v>2000</v>
      </c>
      <c r="C44">
        <v>20</v>
      </c>
      <c r="D44">
        <v>1350</v>
      </c>
    </row>
    <row r="45" spans="1:4">
      <c r="A45">
        <v>2700</v>
      </c>
      <c r="B45">
        <v>2000</v>
      </c>
      <c r="C45">
        <v>30</v>
      </c>
      <c r="D45">
        <v>1445</v>
      </c>
    </row>
    <row r="46" spans="1:4">
      <c r="A46">
        <v>2700</v>
      </c>
      <c r="B46">
        <v>2000</v>
      </c>
      <c r="C46">
        <v>40</v>
      </c>
      <c r="D46">
        <v>1545</v>
      </c>
    </row>
    <row r="47" spans="1:4">
      <c r="A47">
        <v>2700</v>
      </c>
      <c r="B47">
        <v>3000</v>
      </c>
      <c r="C47">
        <v>0</v>
      </c>
      <c r="D47">
        <v>1285</v>
      </c>
    </row>
    <row r="48" spans="1:4">
      <c r="A48">
        <v>2700</v>
      </c>
      <c r="B48">
        <v>3000</v>
      </c>
      <c r="C48">
        <v>10</v>
      </c>
      <c r="D48">
        <v>1380</v>
      </c>
    </row>
    <row r="49" spans="1:4">
      <c r="A49">
        <v>2700</v>
      </c>
      <c r="B49">
        <v>3000</v>
      </c>
      <c r="C49">
        <v>20</v>
      </c>
      <c r="D49">
        <v>1480</v>
      </c>
    </row>
    <row r="50" spans="1:4">
      <c r="A50">
        <v>2700</v>
      </c>
      <c r="B50">
        <v>3000</v>
      </c>
      <c r="C50">
        <v>30</v>
      </c>
      <c r="D50">
        <v>1585</v>
      </c>
    </row>
    <row r="51" spans="1:4">
      <c r="A51">
        <v>2700</v>
      </c>
      <c r="B51">
        <v>3000</v>
      </c>
      <c r="C51">
        <v>40</v>
      </c>
      <c r="D51">
        <v>1695</v>
      </c>
    </row>
    <row r="52" spans="1:4">
      <c r="A52">
        <v>2700</v>
      </c>
      <c r="B52">
        <v>4000</v>
      </c>
      <c r="C52">
        <v>0</v>
      </c>
      <c r="D52">
        <v>1410</v>
      </c>
    </row>
    <row r="53" spans="1:4">
      <c r="A53">
        <v>2700</v>
      </c>
      <c r="B53">
        <v>4000</v>
      </c>
      <c r="C53">
        <v>10</v>
      </c>
      <c r="D53">
        <v>1510</v>
      </c>
    </row>
    <row r="54" spans="1:4">
      <c r="A54">
        <v>2700</v>
      </c>
      <c r="B54">
        <v>4000</v>
      </c>
      <c r="C54">
        <v>20</v>
      </c>
      <c r="D54">
        <v>1625</v>
      </c>
    </row>
    <row r="55" spans="1:4">
      <c r="A55">
        <v>2700</v>
      </c>
      <c r="B55">
        <v>4000</v>
      </c>
      <c r="C55">
        <v>30</v>
      </c>
      <c r="D55">
        <v>1740</v>
      </c>
    </row>
    <row r="56" spans="1:4">
      <c r="A56">
        <v>2700</v>
      </c>
      <c r="B56">
        <v>4000</v>
      </c>
      <c r="C56">
        <v>40</v>
      </c>
      <c r="D56">
        <v>1870</v>
      </c>
    </row>
    <row r="57" spans="1:4">
      <c r="A57">
        <v>2700</v>
      </c>
      <c r="B57">
        <v>5000</v>
      </c>
      <c r="C57">
        <v>0</v>
      </c>
      <c r="D57">
        <v>1550</v>
      </c>
    </row>
    <row r="58" spans="1:4">
      <c r="A58">
        <v>2700</v>
      </c>
      <c r="B58">
        <v>5000</v>
      </c>
      <c r="C58">
        <v>10</v>
      </c>
      <c r="D58">
        <v>1665</v>
      </c>
    </row>
    <row r="59" spans="1:4">
      <c r="A59">
        <v>2700</v>
      </c>
      <c r="B59">
        <v>5000</v>
      </c>
      <c r="C59">
        <v>20</v>
      </c>
      <c r="D59">
        <v>1790</v>
      </c>
    </row>
    <row r="60" spans="1:4">
      <c r="A60">
        <v>2700</v>
      </c>
      <c r="B60">
        <v>5000</v>
      </c>
      <c r="C60">
        <v>30</v>
      </c>
      <c r="D60">
        <v>1920</v>
      </c>
    </row>
    <row r="61" spans="1:4">
      <c r="A61">
        <v>2700</v>
      </c>
      <c r="B61">
        <v>5000</v>
      </c>
      <c r="C61">
        <v>40</v>
      </c>
      <c r="D61">
        <v>2065</v>
      </c>
    </row>
    <row r="62" spans="1:4">
      <c r="A62">
        <v>2300</v>
      </c>
      <c r="B62">
        <v>0</v>
      </c>
      <c r="C62">
        <v>0</v>
      </c>
      <c r="D62">
        <v>705</v>
      </c>
    </row>
    <row r="63" spans="1:4">
      <c r="A63">
        <v>2300</v>
      </c>
      <c r="B63">
        <v>0</v>
      </c>
      <c r="C63">
        <v>10</v>
      </c>
      <c r="D63">
        <v>750</v>
      </c>
    </row>
    <row r="64" spans="1:4">
      <c r="A64">
        <v>2300</v>
      </c>
      <c r="B64">
        <v>0</v>
      </c>
      <c r="C64">
        <v>20</v>
      </c>
      <c r="D64">
        <v>800</v>
      </c>
    </row>
    <row r="65" spans="1:4">
      <c r="A65">
        <v>2300</v>
      </c>
      <c r="B65">
        <v>0</v>
      </c>
      <c r="C65">
        <v>30</v>
      </c>
      <c r="D65">
        <v>850</v>
      </c>
    </row>
    <row r="66" spans="1:4">
      <c r="A66">
        <v>2300</v>
      </c>
      <c r="B66">
        <v>0</v>
      </c>
      <c r="C66">
        <v>40</v>
      </c>
      <c r="D66">
        <v>905</v>
      </c>
    </row>
    <row r="67" spans="1:4">
      <c r="A67">
        <v>2300</v>
      </c>
      <c r="B67">
        <v>1000</v>
      </c>
      <c r="C67">
        <v>0</v>
      </c>
      <c r="D67">
        <v>765</v>
      </c>
    </row>
    <row r="68" spans="1:4">
      <c r="A68">
        <v>2300</v>
      </c>
      <c r="B68">
        <v>1000</v>
      </c>
      <c r="C68">
        <v>10</v>
      </c>
      <c r="D68">
        <v>815</v>
      </c>
    </row>
    <row r="69" spans="1:4">
      <c r="A69">
        <v>2300</v>
      </c>
      <c r="B69">
        <v>1000</v>
      </c>
      <c r="C69">
        <v>20</v>
      </c>
      <c r="D69">
        <v>870</v>
      </c>
    </row>
    <row r="70" spans="1:4">
      <c r="A70">
        <v>2300</v>
      </c>
      <c r="B70">
        <v>1000</v>
      </c>
      <c r="C70">
        <v>30</v>
      </c>
      <c r="D70">
        <v>925</v>
      </c>
    </row>
    <row r="71" spans="1:4">
      <c r="A71">
        <v>2300</v>
      </c>
      <c r="B71">
        <v>1000</v>
      </c>
      <c r="C71">
        <v>40</v>
      </c>
      <c r="D71">
        <v>985</v>
      </c>
    </row>
    <row r="72" spans="1:4">
      <c r="A72">
        <v>2300</v>
      </c>
      <c r="B72">
        <v>2000</v>
      </c>
      <c r="C72">
        <v>0</v>
      </c>
      <c r="D72">
        <v>830</v>
      </c>
    </row>
    <row r="73" spans="1:4">
      <c r="A73">
        <v>2300</v>
      </c>
      <c r="B73">
        <v>2000</v>
      </c>
      <c r="C73">
        <v>10</v>
      </c>
      <c r="D73">
        <v>885</v>
      </c>
    </row>
    <row r="74" spans="1:4">
      <c r="A74">
        <v>2300</v>
      </c>
      <c r="B74">
        <v>2000</v>
      </c>
      <c r="C74">
        <v>20</v>
      </c>
      <c r="D74">
        <v>940</v>
      </c>
    </row>
    <row r="75" spans="1:4">
      <c r="A75">
        <v>2300</v>
      </c>
      <c r="B75">
        <v>2000</v>
      </c>
      <c r="C75">
        <v>30</v>
      </c>
      <c r="D75">
        <v>1005</v>
      </c>
    </row>
    <row r="76" spans="1:4">
      <c r="A76">
        <v>2300</v>
      </c>
      <c r="B76">
        <v>2000</v>
      </c>
      <c r="C76">
        <v>40</v>
      </c>
      <c r="D76">
        <v>1070</v>
      </c>
    </row>
    <row r="77" spans="1:4">
      <c r="A77">
        <v>2300</v>
      </c>
      <c r="B77">
        <v>3000</v>
      </c>
      <c r="C77">
        <v>0</v>
      </c>
      <c r="D77">
        <v>900</v>
      </c>
    </row>
    <row r="78" spans="1:4">
      <c r="A78">
        <v>2300</v>
      </c>
      <c r="B78">
        <v>3000</v>
      </c>
      <c r="C78">
        <v>10</v>
      </c>
      <c r="D78">
        <v>960</v>
      </c>
    </row>
    <row r="79" spans="1:4">
      <c r="A79">
        <v>2300</v>
      </c>
      <c r="B79">
        <v>3000</v>
      </c>
      <c r="C79">
        <v>20</v>
      </c>
      <c r="D79">
        <v>1025</v>
      </c>
    </row>
    <row r="80" spans="1:4">
      <c r="A80">
        <v>2300</v>
      </c>
      <c r="B80">
        <v>3000</v>
      </c>
      <c r="C80">
        <v>30</v>
      </c>
      <c r="D80">
        <v>1090</v>
      </c>
    </row>
    <row r="81" spans="1:4">
      <c r="A81">
        <v>2300</v>
      </c>
      <c r="B81">
        <v>3000</v>
      </c>
      <c r="C81">
        <v>40</v>
      </c>
      <c r="D81">
        <v>1165</v>
      </c>
    </row>
    <row r="82" spans="1:4">
      <c r="A82">
        <v>2300</v>
      </c>
      <c r="B82">
        <v>4000</v>
      </c>
      <c r="C82">
        <v>0</v>
      </c>
      <c r="D82">
        <v>980</v>
      </c>
    </row>
    <row r="83" spans="1:4">
      <c r="A83">
        <v>2300</v>
      </c>
      <c r="B83">
        <v>4000</v>
      </c>
      <c r="C83">
        <v>10</v>
      </c>
      <c r="D83">
        <v>1045</v>
      </c>
    </row>
    <row r="84" spans="1:4">
      <c r="A84">
        <v>2300</v>
      </c>
      <c r="B84">
        <v>4000</v>
      </c>
      <c r="C84">
        <v>20</v>
      </c>
      <c r="D84">
        <v>1115</v>
      </c>
    </row>
    <row r="85" spans="1:4">
      <c r="A85">
        <v>2300</v>
      </c>
      <c r="B85">
        <v>4000</v>
      </c>
      <c r="C85">
        <v>30</v>
      </c>
      <c r="D85">
        <v>1190</v>
      </c>
    </row>
    <row r="86" spans="1:4">
      <c r="A86">
        <v>2300</v>
      </c>
      <c r="B86">
        <v>4000</v>
      </c>
      <c r="C86">
        <v>40</v>
      </c>
      <c r="D86">
        <v>1270</v>
      </c>
    </row>
    <row r="87" spans="1:4">
      <c r="A87">
        <v>2300</v>
      </c>
      <c r="B87">
        <v>5000</v>
      </c>
      <c r="C87">
        <v>0</v>
      </c>
      <c r="D87">
        <v>1065</v>
      </c>
    </row>
    <row r="88" spans="1:4">
      <c r="A88">
        <v>2300</v>
      </c>
      <c r="B88">
        <v>5000</v>
      </c>
      <c r="C88">
        <v>10</v>
      </c>
      <c r="D88">
        <v>1140</v>
      </c>
    </row>
    <row r="89" spans="1:4">
      <c r="A89">
        <v>2300</v>
      </c>
      <c r="B89">
        <v>5000</v>
      </c>
      <c r="C89">
        <v>20</v>
      </c>
      <c r="D89">
        <v>1220</v>
      </c>
    </row>
    <row r="90" spans="1:4">
      <c r="A90">
        <v>2300</v>
      </c>
      <c r="B90">
        <v>5000</v>
      </c>
      <c r="C90">
        <v>30</v>
      </c>
      <c r="D90">
        <v>1305</v>
      </c>
    </row>
    <row r="91" spans="1:4">
      <c r="A91">
        <v>2300</v>
      </c>
      <c r="B91">
        <v>5000</v>
      </c>
      <c r="C91">
        <v>40</v>
      </c>
      <c r="D91">
        <v>1390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C26E0-7633-40F7-9A3F-F7C8AB99E1E7}">
  <dimension ref="A1:U99"/>
  <sheetViews>
    <sheetView topLeftCell="F74" zoomScale="93" zoomScaleNormal="70" workbookViewId="0">
      <selection activeCell="U100" sqref="U100"/>
    </sheetView>
  </sheetViews>
  <sheetFormatPr defaultRowHeight="14.25"/>
  <cols>
    <col min="1" max="1" width="9" style="1"/>
    <col min="3" max="3" width="9" style="4"/>
    <col min="4" max="4" width="9" style="2"/>
    <col min="6" max="6" width="9" style="2"/>
    <col min="8" max="8" width="9" style="2"/>
    <col min="10" max="10" width="9" style="2"/>
    <col min="12" max="12" width="9" style="2"/>
    <col min="14" max="14" width="9" style="2"/>
    <col min="16" max="16" width="9.1328125" style="4"/>
  </cols>
  <sheetData>
    <row r="1" spans="1:21" s="1" customFormat="1">
      <c r="A1" s="1" t="s">
        <v>103</v>
      </c>
      <c r="B1" s="1" t="s">
        <v>104</v>
      </c>
      <c r="C1" s="5" t="s">
        <v>105</v>
      </c>
      <c r="D1" s="6" t="s">
        <v>106</v>
      </c>
      <c r="E1" s="1" t="s">
        <v>107</v>
      </c>
      <c r="F1" s="6" t="s">
        <v>108</v>
      </c>
      <c r="G1" s="1" t="s">
        <v>109</v>
      </c>
      <c r="H1" s="6" t="s">
        <v>110</v>
      </c>
      <c r="I1" s="1" t="s">
        <v>111</v>
      </c>
      <c r="J1" s="6" t="s">
        <v>112</v>
      </c>
      <c r="L1" s="6"/>
      <c r="N1" s="6"/>
      <c r="O1" t="s">
        <v>103</v>
      </c>
      <c r="P1" s="4" t="s">
        <v>49</v>
      </c>
      <c r="Q1" t="s">
        <v>113</v>
      </c>
      <c r="R1" t="s">
        <v>114</v>
      </c>
      <c r="S1" t="s">
        <v>115</v>
      </c>
      <c r="T1" t="s">
        <v>116</v>
      </c>
    </row>
    <row r="2" spans="1:21" ht="14.45" customHeight="1">
      <c r="A2" s="1" t="s">
        <v>117</v>
      </c>
      <c r="B2">
        <v>10</v>
      </c>
      <c r="C2" s="4" t="s">
        <v>118</v>
      </c>
      <c r="D2" s="2">
        <v>109</v>
      </c>
      <c r="E2" s="7" t="str">
        <f>IF(C2="", "", _xlfn.LET(
    _xlpm.Num, VALUE(LEFT(C2, 2)),
    _xlpm.Letter, IF(ISNUMBER(VALUE(RIGHT(C2, 1))), "", RIGHT(C2, 1)),
    _xlpm.NewNum, IF(_xlpm.Num&lt;=18, _xlpm.Num+18, _xlpm.Num-18),
    _xlpm.NewLetter, IF(_xlpm.Letter="L", "R", IF(_xlpm.Letter="R", "L", _xlpm.Letter)),
    TEXT(_xlpm.NewNum, "00") &amp; _xlpm.NewLetter
))</f>
        <v>29</v>
      </c>
      <c r="F2" s="2">
        <f>IF(D2="", "", IF(D2&lt;=180, D2+180, D2-180))</f>
        <v>289</v>
      </c>
      <c r="O2" t="s">
        <v>117</v>
      </c>
      <c r="P2" s="4">
        <v>11</v>
      </c>
      <c r="Q2">
        <v>2127</v>
      </c>
      <c r="R2">
        <v>2127</v>
      </c>
      <c r="S2">
        <v>2277</v>
      </c>
      <c r="T2">
        <v>1851</v>
      </c>
      <c r="U2" t="str">
        <f>TRIM(O2) &amp; TRIM(P2)</f>
        <v>ENAT11</v>
      </c>
    </row>
    <row r="3" spans="1:21">
      <c r="A3" s="1" t="s">
        <v>119</v>
      </c>
      <c r="B3">
        <v>30</v>
      </c>
      <c r="C3" s="4" t="s">
        <v>120</v>
      </c>
      <c r="D3" s="2">
        <v>140</v>
      </c>
      <c r="E3" s="7" t="str">
        <f t="shared" ref="E3:E54" si="0">IF(C3="", "", _xlfn.LET(
    _xlpm.Num, VALUE(LEFT(C3, 2)),
    _xlpm.Letter, IF(ISNUMBER(VALUE(RIGHT(C3, 1))), "", RIGHT(C3, 1)),
    _xlpm.NewNum, IF(_xlpm.Num&lt;=18, _xlpm.Num+18, _xlpm.Num-18),
    _xlpm.NewLetter, IF(_xlpm.Letter="L", "R", IF(_xlpm.Letter="R", "L", _xlpm.Letter)),
    TEXT(_xlpm.NewNum, "00") &amp; _xlpm.NewLetter
))</f>
        <v>32</v>
      </c>
      <c r="F3" s="2">
        <f t="shared" ref="F3:F54" si="1">IF(D3="", "", IF(D3&lt;=180, D3+180, D3-180))</f>
        <v>320</v>
      </c>
      <c r="O3" t="s">
        <v>117</v>
      </c>
      <c r="P3" s="4">
        <v>29</v>
      </c>
      <c r="Q3">
        <v>2123</v>
      </c>
      <c r="R3">
        <v>2123</v>
      </c>
      <c r="S3">
        <v>2273</v>
      </c>
      <c r="T3">
        <v>1907</v>
      </c>
      <c r="U3" t="str">
        <f>TRIM(O3) &amp; TRIM(P3)</f>
        <v>ENAT29</v>
      </c>
    </row>
    <row r="4" spans="1:21">
      <c r="A4" s="1" t="s">
        <v>121</v>
      </c>
      <c r="B4">
        <v>415</v>
      </c>
      <c r="C4" s="4" t="s">
        <v>122</v>
      </c>
      <c r="D4" s="2">
        <v>50</v>
      </c>
      <c r="E4" s="7" t="str">
        <f t="shared" si="0"/>
        <v>23</v>
      </c>
      <c r="F4" s="2">
        <f t="shared" si="1"/>
        <v>230</v>
      </c>
      <c r="O4" t="s">
        <v>119</v>
      </c>
      <c r="P4" s="4">
        <v>14</v>
      </c>
      <c r="Q4">
        <v>1839</v>
      </c>
      <c r="R4">
        <v>1839</v>
      </c>
      <c r="S4">
        <v>1839</v>
      </c>
      <c r="T4">
        <v>1839</v>
      </c>
      <c r="U4" t="str">
        <f t="shared" ref="U4:U67" si="2">TRIM(O4) &amp; TRIM(P4)</f>
        <v>ENAN14</v>
      </c>
    </row>
    <row r="5" spans="1:21">
      <c r="A5" s="1" t="s">
        <v>45</v>
      </c>
      <c r="B5">
        <v>254</v>
      </c>
      <c r="C5" s="4">
        <v>10</v>
      </c>
      <c r="D5" s="2">
        <v>99</v>
      </c>
      <c r="E5" s="7" t="str">
        <f t="shared" si="0"/>
        <v>28</v>
      </c>
      <c r="F5" s="2">
        <f t="shared" si="1"/>
        <v>279</v>
      </c>
      <c r="O5" t="s">
        <v>119</v>
      </c>
      <c r="P5" s="4">
        <v>32</v>
      </c>
      <c r="Q5">
        <v>1989</v>
      </c>
      <c r="R5">
        <v>1989</v>
      </c>
      <c r="S5">
        <v>2437</v>
      </c>
      <c r="T5">
        <v>1839</v>
      </c>
      <c r="U5" t="str">
        <f t="shared" si="2"/>
        <v>ENAN32</v>
      </c>
    </row>
    <row r="6" spans="1:21">
      <c r="A6" s="1" t="s">
        <v>123</v>
      </c>
      <c r="B6">
        <v>171</v>
      </c>
      <c r="C6" s="4" t="s">
        <v>124</v>
      </c>
      <c r="D6" s="2">
        <v>169</v>
      </c>
      <c r="E6" s="7" t="str">
        <f t="shared" si="0"/>
        <v>35</v>
      </c>
      <c r="F6" s="2">
        <f t="shared" si="1"/>
        <v>349</v>
      </c>
      <c r="O6" t="s">
        <v>125</v>
      </c>
      <c r="P6" s="4" t="s">
        <v>129</v>
      </c>
      <c r="Q6">
        <v>931</v>
      </c>
      <c r="R6">
        <v>931</v>
      </c>
      <c r="S6">
        <v>1111</v>
      </c>
      <c r="T6">
        <v>870</v>
      </c>
      <c r="U6" t="str">
        <f t="shared" si="2"/>
        <v>ENBL07</v>
      </c>
    </row>
    <row r="7" spans="1:21">
      <c r="A7" s="1" t="s">
        <v>126</v>
      </c>
      <c r="B7">
        <v>43</v>
      </c>
      <c r="C7" s="4" t="s">
        <v>127</v>
      </c>
      <c r="D7" s="2">
        <v>59</v>
      </c>
      <c r="E7" s="7" t="str">
        <f t="shared" si="0"/>
        <v>24</v>
      </c>
      <c r="F7" s="2">
        <f t="shared" si="1"/>
        <v>239</v>
      </c>
      <c r="O7" t="s">
        <v>125</v>
      </c>
      <c r="P7" s="4">
        <v>25</v>
      </c>
      <c r="Q7">
        <v>980</v>
      </c>
      <c r="R7">
        <v>980</v>
      </c>
      <c r="S7">
        <v>1160</v>
      </c>
      <c r="T7">
        <v>890</v>
      </c>
      <c r="U7" t="str">
        <f t="shared" si="2"/>
        <v>ENBL25</v>
      </c>
    </row>
    <row r="8" spans="1:21">
      <c r="A8" s="1" t="s">
        <v>128</v>
      </c>
      <c r="B8">
        <v>44</v>
      </c>
      <c r="C8" s="4" t="s">
        <v>129</v>
      </c>
      <c r="D8" s="2">
        <v>70</v>
      </c>
      <c r="E8" s="7" t="str">
        <f t="shared" si="0"/>
        <v>25</v>
      </c>
      <c r="F8" s="2">
        <f t="shared" si="1"/>
        <v>250</v>
      </c>
      <c r="O8" t="s">
        <v>130</v>
      </c>
      <c r="P8" s="4" t="s">
        <v>131</v>
      </c>
      <c r="Q8">
        <v>1199</v>
      </c>
      <c r="R8">
        <v>1199</v>
      </c>
      <c r="S8">
        <v>1199</v>
      </c>
      <c r="T8">
        <v>1199</v>
      </c>
      <c r="U8" t="str">
        <f t="shared" si="2"/>
        <v>ENBN03</v>
      </c>
    </row>
    <row r="9" spans="1:21">
      <c r="A9" s="1" t="s">
        <v>130</v>
      </c>
      <c r="B9">
        <v>26</v>
      </c>
      <c r="C9" s="4" t="s">
        <v>131</v>
      </c>
      <c r="D9" s="2">
        <v>34</v>
      </c>
      <c r="E9" s="7" t="str">
        <f t="shared" si="0"/>
        <v>21</v>
      </c>
      <c r="F9" s="2">
        <f t="shared" si="1"/>
        <v>214</v>
      </c>
      <c r="O9" t="s">
        <v>130</v>
      </c>
      <c r="P9" s="4">
        <v>21</v>
      </c>
      <c r="Q9">
        <v>1199</v>
      </c>
      <c r="R9">
        <v>1199</v>
      </c>
      <c r="S9">
        <v>1560</v>
      </c>
      <c r="T9">
        <v>1199</v>
      </c>
      <c r="U9" t="str">
        <f t="shared" si="2"/>
        <v>ENBN21</v>
      </c>
    </row>
    <row r="10" spans="1:21">
      <c r="A10" s="1" t="s">
        <v>132</v>
      </c>
      <c r="B10">
        <v>490</v>
      </c>
      <c r="C10" s="4" t="s">
        <v>131</v>
      </c>
      <c r="D10" s="2">
        <v>28</v>
      </c>
      <c r="E10" s="7" t="str">
        <f t="shared" si="0"/>
        <v>21</v>
      </c>
      <c r="F10" s="2">
        <f t="shared" si="1"/>
        <v>208</v>
      </c>
      <c r="O10" t="s">
        <v>128</v>
      </c>
      <c r="P10" s="4" t="s">
        <v>129</v>
      </c>
      <c r="Q10">
        <v>2794</v>
      </c>
      <c r="R10">
        <v>2794</v>
      </c>
      <c r="S10">
        <v>3063</v>
      </c>
      <c r="T10">
        <v>2794</v>
      </c>
      <c r="U10" t="str">
        <f t="shared" si="2"/>
        <v>ENBO07</v>
      </c>
    </row>
    <row r="11" spans="1:21">
      <c r="A11" s="1" t="s">
        <v>133</v>
      </c>
      <c r="B11">
        <v>37</v>
      </c>
      <c r="C11" s="4" t="s">
        <v>129</v>
      </c>
      <c r="D11" s="2">
        <v>70</v>
      </c>
      <c r="E11" s="7" t="str">
        <f t="shared" si="0"/>
        <v>25</v>
      </c>
      <c r="F11" s="2">
        <f t="shared" si="1"/>
        <v>250</v>
      </c>
      <c r="O11" t="s">
        <v>128</v>
      </c>
      <c r="P11" s="4">
        <v>25</v>
      </c>
      <c r="Q11">
        <v>2794</v>
      </c>
      <c r="R11">
        <v>2794</v>
      </c>
      <c r="S11">
        <v>2794</v>
      </c>
      <c r="T11">
        <v>2794</v>
      </c>
      <c r="U11" t="str">
        <f t="shared" si="2"/>
        <v>ENBO25</v>
      </c>
    </row>
    <row r="12" spans="1:21">
      <c r="A12" s="1" t="s">
        <v>125</v>
      </c>
      <c r="B12">
        <v>1045</v>
      </c>
      <c r="C12" s="4" t="s">
        <v>129</v>
      </c>
      <c r="D12" s="2">
        <v>72</v>
      </c>
      <c r="E12" s="7" t="str">
        <f t="shared" si="0"/>
        <v>25</v>
      </c>
      <c r="F12" s="2">
        <f t="shared" si="1"/>
        <v>252</v>
      </c>
      <c r="O12" t="s">
        <v>123</v>
      </c>
      <c r="P12" s="4">
        <v>17</v>
      </c>
      <c r="Q12">
        <v>2826</v>
      </c>
      <c r="R12">
        <v>2826</v>
      </c>
      <c r="S12">
        <v>3119</v>
      </c>
      <c r="T12">
        <v>2557</v>
      </c>
      <c r="U12" t="str">
        <f t="shared" si="2"/>
        <v>ENBR17</v>
      </c>
    </row>
    <row r="13" spans="1:21">
      <c r="A13" s="1" t="s">
        <v>134</v>
      </c>
      <c r="B13">
        <v>263</v>
      </c>
      <c r="C13" s="4" t="s">
        <v>135</v>
      </c>
      <c r="D13" s="2">
        <v>42</v>
      </c>
      <c r="E13" s="7" t="str">
        <f t="shared" si="0"/>
        <v>22</v>
      </c>
      <c r="F13" s="2">
        <f t="shared" si="1"/>
        <v>222</v>
      </c>
      <c r="O13" t="s">
        <v>123</v>
      </c>
      <c r="P13" s="4">
        <v>35</v>
      </c>
      <c r="Q13">
        <v>2795</v>
      </c>
      <c r="R13">
        <v>2795</v>
      </c>
      <c r="S13">
        <v>3095</v>
      </c>
      <c r="T13">
        <v>2525</v>
      </c>
      <c r="U13" t="str">
        <f t="shared" si="2"/>
        <v>ENBR35</v>
      </c>
    </row>
    <row r="14" spans="1:21">
      <c r="A14" s="1" t="s">
        <v>136</v>
      </c>
      <c r="B14">
        <v>85</v>
      </c>
      <c r="C14" s="4" t="s">
        <v>124</v>
      </c>
      <c r="D14" s="2">
        <v>168</v>
      </c>
      <c r="E14" s="7" t="str">
        <f t="shared" si="0"/>
        <v>35</v>
      </c>
      <c r="F14" s="2">
        <f t="shared" si="1"/>
        <v>348</v>
      </c>
      <c r="O14" t="s">
        <v>132</v>
      </c>
      <c r="P14" s="4" t="s">
        <v>131</v>
      </c>
      <c r="Q14">
        <v>940</v>
      </c>
      <c r="R14">
        <v>940</v>
      </c>
      <c r="S14">
        <v>1120</v>
      </c>
      <c r="T14">
        <v>940</v>
      </c>
      <c r="U14" t="str">
        <f t="shared" si="2"/>
        <v>ENBS03</v>
      </c>
    </row>
    <row r="15" spans="1:21">
      <c r="A15" s="1" t="s">
        <v>137</v>
      </c>
      <c r="B15">
        <v>23</v>
      </c>
      <c r="C15" s="4" t="s">
        <v>118</v>
      </c>
      <c r="D15" s="2">
        <v>107</v>
      </c>
      <c r="E15" s="7" t="str">
        <f t="shared" si="0"/>
        <v>29</v>
      </c>
      <c r="F15" s="2">
        <f t="shared" si="1"/>
        <v>287</v>
      </c>
      <c r="O15" t="s">
        <v>132</v>
      </c>
      <c r="P15" s="4">
        <v>21</v>
      </c>
      <c r="Q15">
        <v>895</v>
      </c>
      <c r="R15">
        <v>895</v>
      </c>
      <c r="S15">
        <v>1120</v>
      </c>
      <c r="T15">
        <v>895</v>
      </c>
      <c r="U15" t="str">
        <f t="shared" si="2"/>
        <v>ENBS21</v>
      </c>
    </row>
    <row r="16" spans="1:21">
      <c r="A16" s="1" t="s">
        <v>138</v>
      </c>
      <c r="B16">
        <v>87</v>
      </c>
      <c r="C16" s="4" t="s">
        <v>139</v>
      </c>
      <c r="D16" s="2">
        <v>133</v>
      </c>
      <c r="E16" s="7" t="str">
        <f t="shared" si="0"/>
        <v>31</v>
      </c>
      <c r="F16" s="2">
        <f t="shared" si="1"/>
        <v>313</v>
      </c>
      <c r="O16" t="s">
        <v>126</v>
      </c>
      <c r="P16" s="4" t="s">
        <v>127</v>
      </c>
      <c r="Q16">
        <v>879</v>
      </c>
      <c r="R16">
        <v>879</v>
      </c>
      <c r="S16">
        <v>1059</v>
      </c>
      <c r="T16">
        <v>830</v>
      </c>
      <c r="U16" t="str">
        <f t="shared" si="2"/>
        <v>ENBV06</v>
      </c>
    </row>
    <row r="17" spans="1:21">
      <c r="A17" s="1" t="s">
        <v>140</v>
      </c>
      <c r="B17">
        <v>45</v>
      </c>
      <c r="C17" s="4" t="s">
        <v>141</v>
      </c>
      <c r="D17" s="2">
        <v>77</v>
      </c>
      <c r="E17" s="7" t="str">
        <f t="shared" si="0"/>
        <v>26</v>
      </c>
      <c r="F17" s="2">
        <f t="shared" si="1"/>
        <v>257</v>
      </c>
      <c r="O17" t="s">
        <v>126</v>
      </c>
      <c r="P17" s="4">
        <v>24</v>
      </c>
      <c r="Q17">
        <v>890</v>
      </c>
      <c r="R17">
        <v>890</v>
      </c>
      <c r="S17">
        <v>1070</v>
      </c>
      <c r="T17">
        <v>830</v>
      </c>
      <c r="U17" t="str">
        <f t="shared" si="2"/>
        <v>ENBV24</v>
      </c>
    </row>
    <row r="18" spans="1:21">
      <c r="A18" s="1" t="s">
        <v>142</v>
      </c>
      <c r="B18">
        <v>653</v>
      </c>
      <c r="C18" s="4" t="s">
        <v>135</v>
      </c>
      <c r="D18" s="2">
        <v>36</v>
      </c>
      <c r="E18" s="7" t="str">
        <f t="shared" si="0"/>
        <v>22</v>
      </c>
      <c r="F18" s="2">
        <f t="shared" si="1"/>
        <v>216</v>
      </c>
      <c r="O18" t="s">
        <v>143</v>
      </c>
      <c r="P18" s="4" t="s">
        <v>131</v>
      </c>
      <c r="Q18">
        <v>1987</v>
      </c>
      <c r="R18">
        <v>1987</v>
      </c>
      <c r="S18">
        <v>2160</v>
      </c>
      <c r="T18">
        <v>1920</v>
      </c>
      <c r="U18" t="str">
        <f t="shared" si="2"/>
        <v>ENCN03</v>
      </c>
    </row>
    <row r="19" spans="1:21">
      <c r="A19" s="1" t="s">
        <v>144</v>
      </c>
      <c r="B19">
        <v>285</v>
      </c>
      <c r="C19" s="4" t="s">
        <v>122</v>
      </c>
      <c r="D19" s="2">
        <v>53</v>
      </c>
      <c r="E19" s="7" t="str">
        <f t="shared" si="0"/>
        <v>23</v>
      </c>
      <c r="F19" s="2">
        <f t="shared" si="1"/>
        <v>233</v>
      </c>
      <c r="O19" t="s">
        <v>143</v>
      </c>
      <c r="P19" s="4">
        <v>21</v>
      </c>
      <c r="Q19">
        <v>1969</v>
      </c>
      <c r="R19">
        <v>1969</v>
      </c>
      <c r="S19">
        <v>2144</v>
      </c>
      <c r="T19">
        <v>1870</v>
      </c>
      <c r="U19" t="str">
        <f t="shared" si="2"/>
        <v>ENCN21</v>
      </c>
    </row>
    <row r="20" spans="1:21">
      <c r="A20" s="1" t="s">
        <v>145</v>
      </c>
      <c r="B20">
        <v>354</v>
      </c>
      <c r="C20" s="4" t="s">
        <v>146</v>
      </c>
      <c r="D20" s="2">
        <v>118</v>
      </c>
      <c r="E20" s="7" t="str">
        <f t="shared" si="0"/>
        <v>30</v>
      </c>
      <c r="F20" s="2">
        <f t="shared" si="1"/>
        <v>298</v>
      </c>
      <c r="O20" t="s">
        <v>45</v>
      </c>
      <c r="P20" s="4">
        <v>10</v>
      </c>
      <c r="Q20">
        <v>2443</v>
      </c>
      <c r="R20">
        <v>2443</v>
      </c>
      <c r="S20">
        <v>2443</v>
      </c>
      <c r="T20">
        <v>2001</v>
      </c>
      <c r="U20" t="str">
        <f t="shared" si="2"/>
        <v>ENDU10</v>
      </c>
    </row>
    <row r="21" spans="1:21">
      <c r="A21" s="1" t="s">
        <v>143</v>
      </c>
      <c r="B21">
        <v>57</v>
      </c>
      <c r="C21" s="4" t="s">
        <v>131</v>
      </c>
      <c r="D21" s="2">
        <v>31</v>
      </c>
      <c r="E21" s="7" t="str">
        <f t="shared" si="0"/>
        <v>21</v>
      </c>
      <c r="F21" s="2">
        <f t="shared" si="1"/>
        <v>211</v>
      </c>
      <c r="O21" t="s">
        <v>45</v>
      </c>
      <c r="P21" s="4">
        <v>28</v>
      </c>
      <c r="Q21">
        <v>2443</v>
      </c>
      <c r="R21">
        <v>2443</v>
      </c>
      <c r="S21">
        <v>2443</v>
      </c>
      <c r="T21">
        <v>2443</v>
      </c>
      <c r="U21" t="str">
        <f t="shared" si="2"/>
        <v>ENDU28</v>
      </c>
    </row>
    <row r="22" spans="1:21">
      <c r="A22" s="1" t="s">
        <v>147</v>
      </c>
      <c r="B22">
        <v>205</v>
      </c>
      <c r="C22" s="4" t="s">
        <v>129</v>
      </c>
      <c r="D22" s="2">
        <v>68</v>
      </c>
      <c r="E22" s="7" t="str">
        <f t="shared" si="0"/>
        <v>25</v>
      </c>
      <c r="F22" s="2">
        <f t="shared" si="1"/>
        <v>248</v>
      </c>
      <c r="O22" t="s">
        <v>136</v>
      </c>
      <c r="P22" s="4">
        <v>17</v>
      </c>
      <c r="Q22">
        <v>2812</v>
      </c>
      <c r="R22">
        <v>2812</v>
      </c>
      <c r="S22">
        <v>3092</v>
      </c>
      <c r="T22">
        <v>2718</v>
      </c>
      <c r="U22" t="str">
        <f t="shared" si="2"/>
        <v>ENEV17</v>
      </c>
    </row>
    <row r="23" spans="1:21">
      <c r="A23" s="1" t="s">
        <v>148</v>
      </c>
      <c r="B23">
        <v>26</v>
      </c>
      <c r="C23" s="4" t="s">
        <v>149</v>
      </c>
      <c r="D23" s="2">
        <v>161</v>
      </c>
      <c r="E23" s="7" t="str">
        <f t="shared" si="0"/>
        <v>34</v>
      </c>
      <c r="F23" s="2">
        <f t="shared" si="1"/>
        <v>341</v>
      </c>
      <c r="O23" t="s">
        <v>136</v>
      </c>
      <c r="P23" s="4">
        <v>35</v>
      </c>
      <c r="Q23">
        <v>2812</v>
      </c>
      <c r="R23">
        <v>2812</v>
      </c>
      <c r="S23">
        <v>3050</v>
      </c>
      <c r="T23">
        <v>2752</v>
      </c>
      <c r="U23" t="str">
        <f t="shared" si="2"/>
        <v>ENEV35</v>
      </c>
    </row>
    <row r="24" spans="1:21">
      <c r="A24" s="1" t="s">
        <v>150</v>
      </c>
      <c r="B24">
        <v>80</v>
      </c>
      <c r="C24" s="4" t="s">
        <v>151</v>
      </c>
      <c r="D24" s="2">
        <v>22</v>
      </c>
      <c r="E24" s="7" t="str">
        <f t="shared" si="0"/>
        <v>20</v>
      </c>
      <c r="F24" s="2">
        <f t="shared" si="1"/>
        <v>202</v>
      </c>
      <c r="O24" t="s">
        <v>133</v>
      </c>
      <c r="P24" s="4" t="s">
        <v>129</v>
      </c>
      <c r="Q24">
        <v>1199</v>
      </c>
      <c r="R24">
        <v>1199</v>
      </c>
      <c r="S24">
        <v>1199</v>
      </c>
      <c r="T24">
        <v>1199</v>
      </c>
      <c r="U24" t="str">
        <f t="shared" si="2"/>
        <v>ENFL07</v>
      </c>
    </row>
    <row r="25" spans="1:21">
      <c r="A25" s="1" t="s">
        <v>152</v>
      </c>
      <c r="B25">
        <v>43</v>
      </c>
      <c r="C25" s="4" t="s">
        <v>124</v>
      </c>
      <c r="D25" s="2">
        <v>167</v>
      </c>
      <c r="E25" s="7" t="str">
        <f t="shared" si="0"/>
        <v>35</v>
      </c>
      <c r="F25" s="2">
        <f t="shared" si="1"/>
        <v>347</v>
      </c>
      <c r="O25" t="s">
        <v>133</v>
      </c>
      <c r="P25" s="4">
        <v>25</v>
      </c>
      <c r="Q25">
        <v>1199</v>
      </c>
      <c r="R25">
        <v>1199</v>
      </c>
      <c r="S25">
        <v>1199</v>
      </c>
      <c r="T25">
        <v>1199</v>
      </c>
      <c r="U25" t="str">
        <f t="shared" si="2"/>
        <v>ENFL25</v>
      </c>
    </row>
    <row r="26" spans="1:21">
      <c r="A26" s="1" t="s">
        <v>153</v>
      </c>
      <c r="B26">
        <v>230</v>
      </c>
      <c r="C26" s="4" t="s">
        <v>139</v>
      </c>
      <c r="D26" s="2">
        <v>132</v>
      </c>
      <c r="E26" s="7" t="str">
        <f t="shared" si="0"/>
        <v>31</v>
      </c>
      <c r="F26" s="2">
        <f t="shared" si="1"/>
        <v>312</v>
      </c>
      <c r="O26" t="s">
        <v>154</v>
      </c>
      <c r="P26" s="4" t="s">
        <v>155</v>
      </c>
      <c r="Q26">
        <v>3600</v>
      </c>
      <c r="R26">
        <v>3600</v>
      </c>
      <c r="S26">
        <v>3600</v>
      </c>
      <c r="T26">
        <v>3600</v>
      </c>
      <c r="U26" t="str">
        <f t="shared" si="2"/>
        <v>ENGM01L</v>
      </c>
    </row>
    <row r="27" spans="1:21">
      <c r="A27" s="1" t="s">
        <v>156</v>
      </c>
      <c r="B27">
        <v>10</v>
      </c>
      <c r="C27" s="4" t="s">
        <v>129</v>
      </c>
      <c r="D27" s="2">
        <v>69</v>
      </c>
      <c r="E27" s="7" t="str">
        <f t="shared" si="0"/>
        <v>25</v>
      </c>
      <c r="F27" s="2">
        <f t="shared" si="1"/>
        <v>249</v>
      </c>
      <c r="O27" t="s">
        <v>154</v>
      </c>
      <c r="P27" s="4" t="s">
        <v>157</v>
      </c>
      <c r="Q27">
        <v>3600</v>
      </c>
      <c r="R27">
        <v>3600</v>
      </c>
      <c r="S27">
        <v>3600</v>
      </c>
      <c r="T27">
        <v>3600</v>
      </c>
      <c r="U27" t="str">
        <f t="shared" si="2"/>
        <v>ENGM19R</v>
      </c>
    </row>
    <row r="28" spans="1:21" ht="14.65" customHeight="1">
      <c r="A28" s="1" t="s">
        <v>158</v>
      </c>
      <c r="B28">
        <v>241</v>
      </c>
      <c r="C28" s="4" t="s">
        <v>159</v>
      </c>
      <c r="D28" s="2">
        <v>155</v>
      </c>
      <c r="E28" s="7" t="str">
        <f t="shared" si="0"/>
        <v>33</v>
      </c>
      <c r="F28" s="2">
        <f t="shared" si="1"/>
        <v>335</v>
      </c>
      <c r="O28" t="s">
        <v>154</v>
      </c>
      <c r="P28" s="4" t="s">
        <v>160</v>
      </c>
      <c r="Q28">
        <v>2950</v>
      </c>
      <c r="R28">
        <v>2950</v>
      </c>
      <c r="S28">
        <v>2950</v>
      </c>
      <c r="T28">
        <v>2950</v>
      </c>
      <c r="U28" t="str">
        <f t="shared" si="2"/>
        <v>ENGM01R</v>
      </c>
    </row>
    <row r="29" spans="1:21">
      <c r="A29" s="1" t="s">
        <v>161</v>
      </c>
      <c r="B29">
        <v>8</v>
      </c>
      <c r="C29" s="4" t="s">
        <v>129</v>
      </c>
      <c r="D29" s="2">
        <v>70</v>
      </c>
      <c r="E29" s="7" t="str">
        <f t="shared" si="0"/>
        <v>25</v>
      </c>
      <c r="F29" s="2">
        <f t="shared" si="1"/>
        <v>250</v>
      </c>
      <c r="O29" t="s">
        <v>154</v>
      </c>
      <c r="P29" s="4" t="s">
        <v>162</v>
      </c>
      <c r="Q29">
        <v>2950</v>
      </c>
      <c r="R29">
        <v>2950</v>
      </c>
      <c r="S29">
        <v>3350</v>
      </c>
      <c r="T29">
        <v>2950</v>
      </c>
      <c r="U29" t="str">
        <f t="shared" si="2"/>
        <v>ENGM19L</v>
      </c>
    </row>
    <row r="30" spans="1:21">
      <c r="A30" s="1" t="s">
        <v>163</v>
      </c>
      <c r="B30">
        <v>62</v>
      </c>
      <c r="C30" s="4" t="s">
        <v>146</v>
      </c>
      <c r="D30" s="2">
        <v>124</v>
      </c>
      <c r="E30" s="7" t="str">
        <f t="shared" si="0"/>
        <v>30</v>
      </c>
      <c r="F30" s="2">
        <f t="shared" si="1"/>
        <v>304</v>
      </c>
      <c r="O30" t="s">
        <v>138</v>
      </c>
      <c r="P30" s="4">
        <v>13</v>
      </c>
      <c r="Q30">
        <v>2061</v>
      </c>
      <c r="R30">
        <v>2061</v>
      </c>
      <c r="S30">
        <v>2361</v>
      </c>
      <c r="T30">
        <v>2000</v>
      </c>
      <c r="U30" t="str">
        <f t="shared" si="2"/>
        <v>ENHD13</v>
      </c>
    </row>
    <row r="31" spans="1:21">
      <c r="A31" s="1" t="s">
        <v>164</v>
      </c>
      <c r="B31">
        <v>131</v>
      </c>
      <c r="C31" s="4" t="s">
        <v>146</v>
      </c>
      <c r="D31" s="2">
        <v>109</v>
      </c>
      <c r="E31" s="7" t="str">
        <f t="shared" si="0"/>
        <v>30</v>
      </c>
      <c r="F31" s="2">
        <f t="shared" si="1"/>
        <v>289</v>
      </c>
      <c r="O31" t="s">
        <v>138</v>
      </c>
      <c r="P31" s="4">
        <v>31</v>
      </c>
      <c r="Q31">
        <v>2060</v>
      </c>
      <c r="R31">
        <v>2060</v>
      </c>
      <c r="S31">
        <v>2360</v>
      </c>
      <c r="T31">
        <v>2000</v>
      </c>
      <c r="U31" t="str">
        <f t="shared" si="2"/>
        <v>ENHD31</v>
      </c>
    </row>
    <row r="32" spans="1:21">
      <c r="A32" s="1" t="s">
        <v>154</v>
      </c>
      <c r="B32">
        <v>682</v>
      </c>
      <c r="C32" s="4" t="s">
        <v>155</v>
      </c>
      <c r="D32" s="2">
        <v>12</v>
      </c>
      <c r="E32" s="7" t="str">
        <f t="shared" si="0"/>
        <v>19R</v>
      </c>
      <c r="F32" s="2">
        <f t="shared" si="1"/>
        <v>192</v>
      </c>
      <c r="G32" t="s">
        <v>160</v>
      </c>
      <c r="H32" s="2">
        <v>12</v>
      </c>
      <c r="I32" t="str">
        <f>IF(G32="", "", _xlfn.LET(
    _xlpm.Num, VALUE(LEFT(G32, 2)),
    _xlpm.Letter, IF(ISNUMBER(VALUE(RIGHT(G32, 1))), "", RIGHT(G32, 1)),
    _xlpm.NewNum, IF(_xlpm.Num&lt;=18, _xlpm.Num+18, _xlpm.Num-18),
    _xlpm.NewLetter, IF(_xlpm.Letter="L", "R", IF(_xlpm.Letter="R", "L", _xlpm.Letter)),
    TEXT(_xlpm.NewNum, "00") &amp; _xlpm.NewLetter
))</f>
        <v>19L</v>
      </c>
      <c r="J32" s="2">
        <f>IF(H32="", "", IF(H32&lt;=180, H32+180, H32-180))</f>
        <v>192</v>
      </c>
      <c r="O32" t="s">
        <v>134</v>
      </c>
      <c r="P32" s="4" t="s">
        <v>135</v>
      </c>
      <c r="Q32">
        <v>891</v>
      </c>
      <c r="R32">
        <v>891</v>
      </c>
      <c r="S32">
        <v>891</v>
      </c>
      <c r="T32">
        <v>850</v>
      </c>
      <c r="U32" t="str">
        <f t="shared" si="2"/>
        <v>ENHF04</v>
      </c>
    </row>
    <row r="33" spans="1:21">
      <c r="A33" s="1" t="s">
        <v>165</v>
      </c>
      <c r="B33">
        <v>828</v>
      </c>
      <c r="C33" s="4" t="s">
        <v>146</v>
      </c>
      <c r="D33" s="2">
        <v>123</v>
      </c>
      <c r="E33" s="7" t="str">
        <f t="shared" si="0"/>
        <v>30</v>
      </c>
      <c r="F33" s="2">
        <f t="shared" si="1"/>
        <v>303</v>
      </c>
      <c r="I33" t="str">
        <f t="shared" ref="I33:I54" si="3">IF(G33="", "", _xlfn.LET(
    _xlpm.Num, VALUE(LEFT(G33, 2)),
    _xlpm.Letter, IF(ISNUMBER(VALUE(RIGHT(G33, 1))), "", RIGHT(G33, 1)),
    _xlpm.NewNum, IF(_xlpm.Num&lt;=18, _xlpm.Num+18, _xlpm.Num-18),
    _xlpm.NewLetter, IF(_xlpm.Letter="L", "R", IF(_xlpm.Letter="R", "L", _xlpm.Letter)),
    TEXT(_xlpm.NewNum, "00") &amp; _xlpm.NewLetter
))</f>
        <v/>
      </c>
      <c r="J33" s="2" t="str">
        <f t="shared" ref="J33:J54" si="4">IF(H33="", "", IF(H33&lt;=180, H33+180, H33-180))</f>
        <v/>
      </c>
      <c r="O33" t="s">
        <v>134</v>
      </c>
      <c r="P33" s="4">
        <v>22</v>
      </c>
      <c r="Q33">
        <v>867</v>
      </c>
      <c r="R33">
        <v>867</v>
      </c>
      <c r="S33">
        <v>867</v>
      </c>
      <c r="T33">
        <v>824</v>
      </c>
      <c r="U33" t="str">
        <f t="shared" si="2"/>
        <v>ENHF22</v>
      </c>
    </row>
    <row r="34" spans="1:21">
      <c r="A34" s="1" t="s">
        <v>166</v>
      </c>
      <c r="B34">
        <v>174</v>
      </c>
      <c r="C34" s="4" t="s">
        <v>146</v>
      </c>
      <c r="D34" s="2">
        <v>113</v>
      </c>
      <c r="E34" s="7" t="str">
        <f t="shared" si="0"/>
        <v>30</v>
      </c>
      <c r="F34" s="2">
        <f t="shared" si="1"/>
        <v>293</v>
      </c>
      <c r="I34" t="str">
        <f t="shared" si="3"/>
        <v/>
      </c>
      <c r="J34" s="2" t="str">
        <f t="shared" si="4"/>
        <v/>
      </c>
      <c r="O34" t="s">
        <v>137</v>
      </c>
      <c r="P34" s="4">
        <v>11</v>
      </c>
      <c r="Q34">
        <v>859</v>
      </c>
      <c r="R34">
        <v>859</v>
      </c>
      <c r="S34">
        <v>1039</v>
      </c>
      <c r="T34">
        <v>819</v>
      </c>
      <c r="U34" t="str">
        <f t="shared" si="2"/>
        <v>ENHK11</v>
      </c>
    </row>
    <row r="35" spans="1:21">
      <c r="A35" s="1" t="s">
        <v>167</v>
      </c>
      <c r="B35">
        <v>2054</v>
      </c>
      <c r="C35" s="4" t="s">
        <v>139</v>
      </c>
      <c r="D35" s="2">
        <v>132</v>
      </c>
      <c r="E35" s="7" t="str">
        <f t="shared" si="0"/>
        <v>31</v>
      </c>
      <c r="F35" s="2">
        <f t="shared" si="1"/>
        <v>312</v>
      </c>
      <c r="I35" t="str">
        <f t="shared" si="3"/>
        <v/>
      </c>
      <c r="J35" s="2" t="str">
        <f t="shared" si="4"/>
        <v/>
      </c>
      <c r="O35" t="s">
        <v>137</v>
      </c>
      <c r="P35" s="4">
        <v>29</v>
      </c>
      <c r="Q35">
        <v>909</v>
      </c>
      <c r="R35">
        <v>909</v>
      </c>
      <c r="S35">
        <v>1228</v>
      </c>
      <c r="T35">
        <v>799</v>
      </c>
      <c r="U35" t="str">
        <f t="shared" si="2"/>
        <v>ENHK29</v>
      </c>
    </row>
    <row r="36" spans="1:21">
      <c r="A36" s="1" t="s">
        <v>168</v>
      </c>
      <c r="B36">
        <v>15</v>
      </c>
      <c r="C36" s="4" t="s">
        <v>135</v>
      </c>
      <c r="D36" s="2">
        <v>37</v>
      </c>
      <c r="E36" s="7" t="str">
        <f t="shared" si="0"/>
        <v>22</v>
      </c>
      <c r="F36" s="2">
        <f t="shared" si="1"/>
        <v>217</v>
      </c>
      <c r="I36" t="str">
        <f t="shared" si="3"/>
        <v/>
      </c>
      <c r="J36" s="2" t="str">
        <f t="shared" si="4"/>
        <v/>
      </c>
      <c r="O36" t="s">
        <v>140</v>
      </c>
      <c r="P36" s="4" t="s">
        <v>141</v>
      </c>
      <c r="Q36">
        <v>860</v>
      </c>
      <c r="R36">
        <v>860</v>
      </c>
      <c r="S36">
        <v>860</v>
      </c>
      <c r="T36">
        <v>800</v>
      </c>
      <c r="U36" t="str">
        <f t="shared" si="2"/>
        <v>ENHV08</v>
      </c>
    </row>
    <row r="37" spans="1:21">
      <c r="A37" s="1" t="s">
        <v>169</v>
      </c>
      <c r="B37">
        <v>9</v>
      </c>
      <c r="C37" s="4" t="s">
        <v>151</v>
      </c>
      <c r="D37" s="2">
        <v>23</v>
      </c>
      <c r="E37" s="7" t="str">
        <f t="shared" si="0"/>
        <v>20</v>
      </c>
      <c r="F37" s="2">
        <f t="shared" si="1"/>
        <v>203</v>
      </c>
      <c r="I37" t="str">
        <f t="shared" si="3"/>
        <v/>
      </c>
      <c r="J37" s="2" t="str">
        <f t="shared" si="4"/>
        <v/>
      </c>
      <c r="O37" t="s">
        <v>140</v>
      </c>
      <c r="P37" s="4">
        <v>26</v>
      </c>
      <c r="Q37">
        <v>860</v>
      </c>
      <c r="R37">
        <v>860</v>
      </c>
      <c r="S37">
        <v>860</v>
      </c>
      <c r="T37">
        <v>800</v>
      </c>
      <c r="U37" t="str">
        <f t="shared" si="2"/>
        <v>ENHV26</v>
      </c>
    </row>
    <row r="38" spans="1:21">
      <c r="A38" s="1" t="s">
        <v>170</v>
      </c>
      <c r="B38">
        <v>196</v>
      </c>
      <c r="C38" s="4" t="s">
        <v>141</v>
      </c>
      <c r="D38" s="2">
        <v>83</v>
      </c>
      <c r="E38" s="7" t="str">
        <f t="shared" si="0"/>
        <v>26</v>
      </c>
      <c r="F38" s="2">
        <f t="shared" si="1"/>
        <v>263</v>
      </c>
      <c r="I38" t="str">
        <f t="shared" si="3"/>
        <v/>
      </c>
      <c r="J38" s="2" t="str">
        <f t="shared" si="4"/>
        <v/>
      </c>
      <c r="O38" t="s">
        <v>147</v>
      </c>
      <c r="P38" s="4" t="s">
        <v>129</v>
      </c>
      <c r="Q38">
        <v>2083</v>
      </c>
      <c r="R38">
        <v>2083</v>
      </c>
      <c r="S38">
        <v>2383</v>
      </c>
      <c r="T38">
        <v>2001</v>
      </c>
      <c r="U38" t="str">
        <f t="shared" si="2"/>
        <v>ENKB07</v>
      </c>
    </row>
    <row r="39" spans="1:21">
      <c r="A39" s="1" t="s">
        <v>171</v>
      </c>
      <c r="B39">
        <v>286</v>
      </c>
      <c r="C39" s="4" t="s">
        <v>172</v>
      </c>
      <c r="D39" s="2">
        <v>176</v>
      </c>
      <c r="E39" s="7" t="str">
        <f t="shared" si="0"/>
        <v>36</v>
      </c>
      <c r="F39" s="2">
        <f t="shared" si="1"/>
        <v>356</v>
      </c>
      <c r="I39" t="str">
        <f t="shared" si="3"/>
        <v/>
      </c>
      <c r="J39" s="2" t="str">
        <f t="shared" si="4"/>
        <v/>
      </c>
      <c r="O39" t="s">
        <v>147</v>
      </c>
      <c r="P39" s="4">
        <v>25</v>
      </c>
      <c r="Q39">
        <v>2071</v>
      </c>
      <c r="R39">
        <v>2071</v>
      </c>
      <c r="S39">
        <v>2371</v>
      </c>
      <c r="T39">
        <v>2001</v>
      </c>
      <c r="U39" t="str">
        <f t="shared" si="2"/>
        <v>ENKB25</v>
      </c>
    </row>
    <row r="40" spans="1:21">
      <c r="A40" s="1" t="s">
        <v>173</v>
      </c>
      <c r="B40">
        <v>58</v>
      </c>
      <c r="C40" s="4" t="s">
        <v>151</v>
      </c>
      <c r="D40" s="2">
        <v>20</v>
      </c>
      <c r="E40" s="7" t="str">
        <f t="shared" si="0"/>
        <v>20</v>
      </c>
      <c r="F40" s="2">
        <f t="shared" si="1"/>
        <v>200</v>
      </c>
      <c r="I40" t="str">
        <f t="shared" si="3"/>
        <v/>
      </c>
      <c r="J40" s="2" t="str">
        <f t="shared" si="4"/>
        <v/>
      </c>
      <c r="O40" t="s">
        <v>145</v>
      </c>
      <c r="P40" s="4">
        <v>12</v>
      </c>
      <c r="Q40">
        <v>1350</v>
      </c>
      <c r="R40">
        <v>1350</v>
      </c>
      <c r="S40">
        <v>1350</v>
      </c>
      <c r="T40">
        <v>1350</v>
      </c>
      <c r="U40" t="str">
        <f t="shared" si="2"/>
        <v>ENKJ12</v>
      </c>
    </row>
    <row r="41" spans="1:21">
      <c r="A41" s="1" t="s">
        <v>174</v>
      </c>
      <c r="B41">
        <v>1633</v>
      </c>
      <c r="C41" s="4" t="s">
        <v>127</v>
      </c>
      <c r="D41" s="2">
        <v>57</v>
      </c>
      <c r="E41" s="7" t="str">
        <f t="shared" si="0"/>
        <v>24</v>
      </c>
      <c r="F41" s="2">
        <f t="shared" si="1"/>
        <v>237</v>
      </c>
      <c r="I41" t="str">
        <f t="shared" si="3"/>
        <v/>
      </c>
      <c r="J41" s="2" t="str">
        <f t="shared" si="4"/>
        <v/>
      </c>
      <c r="O41" t="s">
        <v>145</v>
      </c>
      <c r="P41" s="4">
        <v>30</v>
      </c>
      <c r="Q41">
        <v>1350</v>
      </c>
      <c r="R41">
        <v>1350</v>
      </c>
      <c r="S41">
        <v>1350</v>
      </c>
      <c r="T41">
        <v>1350</v>
      </c>
      <c r="U41" t="str">
        <f t="shared" si="2"/>
        <v>ENKJ30</v>
      </c>
    </row>
    <row r="42" spans="1:21">
      <c r="A42" s="1" t="s">
        <v>175</v>
      </c>
      <c r="B42">
        <v>30</v>
      </c>
      <c r="C42" s="4" t="s">
        <v>176</v>
      </c>
      <c r="D42" s="2">
        <v>105</v>
      </c>
      <c r="E42" s="7" t="str">
        <f t="shared" si="0"/>
        <v>28</v>
      </c>
      <c r="F42" s="2">
        <f t="shared" si="1"/>
        <v>285</v>
      </c>
      <c r="G42">
        <v>18</v>
      </c>
      <c r="H42" s="2">
        <v>178</v>
      </c>
      <c r="I42" t="str">
        <f t="shared" si="3"/>
        <v>36</v>
      </c>
      <c r="J42" s="2">
        <f t="shared" si="4"/>
        <v>358</v>
      </c>
      <c r="O42" t="s">
        <v>144</v>
      </c>
      <c r="P42" s="4" t="s">
        <v>122</v>
      </c>
      <c r="Q42">
        <v>2195</v>
      </c>
      <c r="R42">
        <v>2195</v>
      </c>
      <c r="S42">
        <v>2195</v>
      </c>
      <c r="T42">
        <v>2045</v>
      </c>
      <c r="U42" t="str">
        <f t="shared" si="2"/>
        <v>ENKR05</v>
      </c>
    </row>
    <row r="43" spans="1:21">
      <c r="A43" s="1" t="s">
        <v>177</v>
      </c>
      <c r="B43">
        <v>14</v>
      </c>
      <c r="C43" s="4" t="s">
        <v>141</v>
      </c>
      <c r="D43" s="2">
        <v>84</v>
      </c>
      <c r="E43" s="7" t="str">
        <f t="shared" si="0"/>
        <v>26</v>
      </c>
      <c r="F43" s="2">
        <f t="shared" si="1"/>
        <v>264</v>
      </c>
      <c r="I43" t="str">
        <f t="shared" si="3"/>
        <v/>
      </c>
      <c r="J43" s="2" t="str">
        <f t="shared" si="4"/>
        <v/>
      </c>
      <c r="O43" t="s">
        <v>144</v>
      </c>
      <c r="P43" s="4">
        <v>23</v>
      </c>
      <c r="Q43">
        <v>2205</v>
      </c>
      <c r="R43">
        <v>2205</v>
      </c>
      <c r="S43">
        <v>2385</v>
      </c>
      <c r="T43">
        <v>1905</v>
      </c>
      <c r="U43" t="str">
        <f t="shared" si="2"/>
        <v>ENKR23</v>
      </c>
    </row>
    <row r="44" spans="1:21">
      <c r="A44" s="1" t="s">
        <v>178</v>
      </c>
      <c r="B44">
        <v>161</v>
      </c>
      <c r="C44" s="4" t="s">
        <v>120</v>
      </c>
      <c r="D44" s="2">
        <v>143</v>
      </c>
      <c r="E44" s="7" t="str">
        <f t="shared" si="0"/>
        <v>32</v>
      </c>
      <c r="F44" s="2">
        <f t="shared" si="1"/>
        <v>323</v>
      </c>
      <c r="I44" t="str">
        <f t="shared" si="3"/>
        <v/>
      </c>
      <c r="J44" s="2" t="str">
        <f t="shared" si="4"/>
        <v/>
      </c>
      <c r="O44" t="s">
        <v>152</v>
      </c>
      <c r="P44" s="4">
        <v>17</v>
      </c>
      <c r="Q44">
        <v>880</v>
      </c>
      <c r="R44">
        <v>880</v>
      </c>
      <c r="S44">
        <v>1060</v>
      </c>
      <c r="T44">
        <v>830</v>
      </c>
      <c r="U44" t="str">
        <f t="shared" si="2"/>
        <v>ENMH17</v>
      </c>
    </row>
    <row r="45" spans="1:21">
      <c r="A45" s="1" t="s">
        <v>179</v>
      </c>
      <c r="B45">
        <v>94</v>
      </c>
      <c r="C45" s="4" t="s">
        <v>180</v>
      </c>
      <c r="D45" s="2">
        <v>95</v>
      </c>
      <c r="E45" s="7" t="str">
        <f t="shared" si="0"/>
        <v>27</v>
      </c>
      <c r="F45" s="2">
        <f t="shared" si="1"/>
        <v>275</v>
      </c>
      <c r="I45" t="str">
        <f t="shared" si="3"/>
        <v/>
      </c>
      <c r="J45" s="2" t="str">
        <f t="shared" si="4"/>
        <v/>
      </c>
      <c r="O45" t="s">
        <v>152</v>
      </c>
      <c r="P45" s="4">
        <v>35</v>
      </c>
      <c r="Q45">
        <v>890</v>
      </c>
      <c r="R45">
        <v>890</v>
      </c>
      <c r="S45">
        <v>1070</v>
      </c>
      <c r="T45">
        <v>830</v>
      </c>
      <c r="U45" t="str">
        <f t="shared" si="2"/>
        <v>ENMH35</v>
      </c>
    </row>
    <row r="46" spans="1:21">
      <c r="A46" s="1" t="s">
        <v>181</v>
      </c>
      <c r="B46">
        <v>29</v>
      </c>
      <c r="C46" s="4" t="s">
        <v>172</v>
      </c>
      <c r="D46" s="2">
        <v>186</v>
      </c>
      <c r="E46" s="7" t="str">
        <f t="shared" si="0"/>
        <v>36</v>
      </c>
      <c r="F46" s="2">
        <f t="shared" si="1"/>
        <v>6</v>
      </c>
      <c r="I46" t="str">
        <f t="shared" si="3"/>
        <v/>
      </c>
      <c r="J46" s="2" t="str">
        <f t="shared" si="4"/>
        <v/>
      </c>
      <c r="O46" t="s">
        <v>156</v>
      </c>
      <c r="P46" s="4" t="s">
        <v>129</v>
      </c>
      <c r="Q46">
        <v>2121</v>
      </c>
      <c r="R46">
        <v>2121</v>
      </c>
      <c r="S46">
        <v>2421</v>
      </c>
      <c r="T46">
        <v>1981</v>
      </c>
      <c r="U46" t="str">
        <f t="shared" si="2"/>
        <v>ENML07</v>
      </c>
    </row>
    <row r="47" spans="1:21">
      <c r="A47" s="1" t="s">
        <v>182</v>
      </c>
      <c r="B47">
        <v>16</v>
      </c>
      <c r="C47" s="4" t="s">
        <v>120</v>
      </c>
      <c r="D47" s="2">
        <v>143</v>
      </c>
      <c r="E47" s="7" t="str">
        <f t="shared" si="0"/>
        <v>32</v>
      </c>
      <c r="F47" s="2">
        <f t="shared" si="1"/>
        <v>323</v>
      </c>
      <c r="I47" t="str">
        <f t="shared" si="3"/>
        <v/>
      </c>
      <c r="J47" s="2" t="str">
        <f t="shared" si="4"/>
        <v/>
      </c>
      <c r="O47" t="s">
        <v>156</v>
      </c>
      <c r="P47" s="4">
        <v>25</v>
      </c>
      <c r="Q47">
        <v>2081</v>
      </c>
      <c r="R47">
        <v>2081</v>
      </c>
      <c r="S47">
        <v>2381</v>
      </c>
      <c r="T47">
        <v>1981</v>
      </c>
      <c r="U47" t="str">
        <f t="shared" si="2"/>
        <v>ENML25</v>
      </c>
    </row>
    <row r="48" spans="1:21">
      <c r="A48" s="1" t="s">
        <v>183</v>
      </c>
      <c r="B48">
        <v>32</v>
      </c>
      <c r="C48" s="4" t="s">
        <v>172</v>
      </c>
      <c r="D48" s="2">
        <v>182</v>
      </c>
      <c r="E48" s="7" t="str">
        <f t="shared" si="0"/>
        <v>36</v>
      </c>
      <c r="F48" s="2">
        <f t="shared" si="1"/>
        <v>2</v>
      </c>
      <c r="I48" t="str">
        <f t="shared" si="3"/>
        <v/>
      </c>
      <c r="J48" s="2" t="str">
        <f t="shared" si="4"/>
        <v/>
      </c>
      <c r="O48" t="s">
        <v>158</v>
      </c>
      <c r="P48" s="4">
        <v>15</v>
      </c>
      <c r="Q48">
        <v>890</v>
      </c>
      <c r="R48">
        <v>890</v>
      </c>
      <c r="S48">
        <v>1090</v>
      </c>
      <c r="T48">
        <v>829</v>
      </c>
      <c r="U48" t="str">
        <f t="shared" si="2"/>
        <v>ENMS15</v>
      </c>
    </row>
    <row r="49" spans="1:21">
      <c r="A49" s="1" t="s">
        <v>184</v>
      </c>
      <c r="B49">
        <v>64</v>
      </c>
      <c r="C49" s="4" t="s">
        <v>180</v>
      </c>
      <c r="D49" s="2">
        <v>86</v>
      </c>
      <c r="E49" s="7" t="str">
        <f t="shared" si="0"/>
        <v>27</v>
      </c>
      <c r="F49" s="2">
        <f t="shared" si="1"/>
        <v>266</v>
      </c>
      <c r="I49" t="str">
        <f t="shared" si="3"/>
        <v/>
      </c>
      <c r="J49" s="2" t="str">
        <f t="shared" si="4"/>
        <v/>
      </c>
      <c r="O49" t="s">
        <v>158</v>
      </c>
      <c r="P49" s="4">
        <v>33</v>
      </c>
      <c r="Q49">
        <v>869</v>
      </c>
      <c r="R49">
        <v>869</v>
      </c>
      <c r="S49">
        <v>1148</v>
      </c>
      <c r="T49">
        <v>829</v>
      </c>
      <c r="U49" t="str">
        <f t="shared" si="2"/>
        <v>ENMS33</v>
      </c>
    </row>
    <row r="50" spans="1:21">
      <c r="A50" s="1" t="s">
        <v>185</v>
      </c>
      <c r="B50">
        <v>129</v>
      </c>
      <c r="C50" s="4" t="s">
        <v>129</v>
      </c>
      <c r="D50" s="2">
        <v>72</v>
      </c>
      <c r="E50" s="7" t="str">
        <f t="shared" si="0"/>
        <v>25</v>
      </c>
      <c r="F50" s="2">
        <f t="shared" si="1"/>
        <v>252</v>
      </c>
      <c r="I50" t="str">
        <f t="shared" si="3"/>
        <v/>
      </c>
      <c r="J50" s="2" t="str">
        <f t="shared" si="4"/>
        <v/>
      </c>
      <c r="O50" t="s">
        <v>148</v>
      </c>
      <c r="P50" s="4">
        <v>16</v>
      </c>
      <c r="Q50">
        <v>2785</v>
      </c>
      <c r="R50">
        <v>2785</v>
      </c>
      <c r="S50">
        <v>2989</v>
      </c>
      <c r="T50">
        <v>2694</v>
      </c>
      <c r="U50" t="str">
        <f t="shared" si="2"/>
        <v>ENNA16</v>
      </c>
    </row>
    <row r="51" spans="1:21">
      <c r="A51" s="1" t="s">
        <v>186</v>
      </c>
      <c r="B51">
        <v>42</v>
      </c>
      <c r="C51" s="4" t="s">
        <v>159</v>
      </c>
      <c r="D51" s="2">
        <v>147</v>
      </c>
      <c r="E51" s="7" t="str">
        <f t="shared" si="0"/>
        <v>33</v>
      </c>
      <c r="F51" s="2">
        <f t="shared" si="1"/>
        <v>327</v>
      </c>
      <c r="I51" t="str">
        <f t="shared" si="3"/>
        <v/>
      </c>
      <c r="J51" s="2" t="str">
        <f t="shared" si="4"/>
        <v/>
      </c>
      <c r="O51" t="s">
        <v>148</v>
      </c>
      <c r="P51" s="4">
        <v>34</v>
      </c>
      <c r="Q51">
        <v>2694</v>
      </c>
      <c r="R51">
        <v>2694</v>
      </c>
      <c r="S51">
        <v>4041</v>
      </c>
      <c r="T51">
        <v>2604</v>
      </c>
      <c r="U51" t="str">
        <f t="shared" si="2"/>
        <v>ENNA34</v>
      </c>
    </row>
    <row r="52" spans="1:21">
      <c r="A52" s="1" t="s">
        <v>187</v>
      </c>
      <c r="B52">
        <v>30</v>
      </c>
      <c r="C52" s="4" t="s">
        <v>159</v>
      </c>
      <c r="D52" s="2">
        <v>149</v>
      </c>
      <c r="E52" s="7" t="str">
        <f t="shared" si="0"/>
        <v>33</v>
      </c>
      <c r="F52" s="2">
        <f t="shared" si="1"/>
        <v>329</v>
      </c>
      <c r="I52" t="str">
        <f t="shared" si="3"/>
        <v/>
      </c>
      <c r="J52" s="2" t="str">
        <f t="shared" si="4"/>
        <v/>
      </c>
      <c r="O52" t="s">
        <v>161</v>
      </c>
      <c r="P52" s="4" t="s">
        <v>129</v>
      </c>
      <c r="Q52">
        <v>814</v>
      </c>
      <c r="R52">
        <v>814</v>
      </c>
      <c r="S52">
        <v>937</v>
      </c>
      <c r="T52">
        <v>799</v>
      </c>
      <c r="U52" t="str">
        <f t="shared" si="2"/>
        <v>ENNM07</v>
      </c>
    </row>
    <row r="53" spans="1:21">
      <c r="A53" s="1" t="s">
        <v>188</v>
      </c>
      <c r="B53">
        <v>243</v>
      </c>
      <c r="C53" s="4" t="s">
        <v>127</v>
      </c>
      <c r="D53" s="2">
        <v>59</v>
      </c>
      <c r="E53" s="7" t="str">
        <f t="shared" si="0"/>
        <v>24</v>
      </c>
      <c r="F53" s="2">
        <f t="shared" si="1"/>
        <v>239</v>
      </c>
      <c r="I53" t="str">
        <f t="shared" si="3"/>
        <v/>
      </c>
      <c r="J53" s="2" t="str">
        <f t="shared" si="4"/>
        <v/>
      </c>
      <c r="O53" t="s">
        <v>161</v>
      </c>
      <c r="P53" s="4">
        <v>25</v>
      </c>
      <c r="Q53">
        <v>833</v>
      </c>
      <c r="R53">
        <v>833</v>
      </c>
      <c r="S53">
        <v>937</v>
      </c>
      <c r="T53">
        <v>797</v>
      </c>
      <c r="U53" t="str">
        <f t="shared" si="2"/>
        <v>ENNM25</v>
      </c>
    </row>
    <row r="54" spans="1:21">
      <c r="A54" s="1" t="s">
        <v>189</v>
      </c>
      <c r="B54">
        <v>70</v>
      </c>
      <c r="C54" s="4" t="s">
        <v>127</v>
      </c>
      <c r="D54" s="2">
        <v>63</v>
      </c>
      <c r="E54" s="7" t="str">
        <f t="shared" si="0"/>
        <v>24</v>
      </c>
      <c r="F54" s="2">
        <f t="shared" si="1"/>
        <v>243</v>
      </c>
      <c r="I54" t="str">
        <f t="shared" si="3"/>
        <v/>
      </c>
      <c r="J54" s="2" t="str">
        <f t="shared" si="4"/>
        <v/>
      </c>
      <c r="O54" t="s">
        <v>163</v>
      </c>
      <c r="P54" s="4">
        <v>12</v>
      </c>
      <c r="Q54">
        <v>1541</v>
      </c>
      <c r="R54">
        <v>1541</v>
      </c>
      <c r="S54">
        <v>1841</v>
      </c>
      <c r="T54">
        <v>1511</v>
      </c>
      <c r="U54" t="str">
        <f t="shared" si="2"/>
        <v>ENNO12</v>
      </c>
    </row>
    <row r="55" spans="1:21">
      <c r="O55" t="s">
        <v>163</v>
      </c>
      <c r="P55" s="4">
        <v>30</v>
      </c>
      <c r="Q55">
        <v>1571</v>
      </c>
      <c r="R55">
        <v>1571</v>
      </c>
      <c r="S55">
        <v>1871</v>
      </c>
      <c r="T55">
        <v>1511</v>
      </c>
      <c r="U55" t="str">
        <f t="shared" si="2"/>
        <v>ENNO30</v>
      </c>
    </row>
    <row r="56" spans="1:21">
      <c r="O56" t="s">
        <v>187</v>
      </c>
      <c r="P56" s="4">
        <v>15</v>
      </c>
      <c r="Q56">
        <v>3278</v>
      </c>
      <c r="R56">
        <v>3278</v>
      </c>
      <c r="S56">
        <v>3371</v>
      </c>
      <c r="T56">
        <v>3142</v>
      </c>
      <c r="U56" t="str">
        <f t="shared" si="2"/>
        <v>ENOL15</v>
      </c>
    </row>
    <row r="57" spans="1:21">
      <c r="O57" t="s">
        <v>187</v>
      </c>
      <c r="P57" s="4">
        <v>33</v>
      </c>
      <c r="Q57">
        <v>3278</v>
      </c>
      <c r="R57">
        <v>3278</v>
      </c>
      <c r="S57">
        <v>3313</v>
      </c>
      <c r="T57">
        <v>3137</v>
      </c>
      <c r="U57" t="str">
        <f t="shared" si="2"/>
        <v>ENOL33</v>
      </c>
    </row>
    <row r="58" spans="1:21">
      <c r="O58" t="s">
        <v>188</v>
      </c>
      <c r="P58" s="4" t="s">
        <v>127</v>
      </c>
      <c r="Q58">
        <v>951</v>
      </c>
      <c r="R58">
        <v>951</v>
      </c>
      <c r="S58">
        <v>1131</v>
      </c>
      <c r="T58">
        <v>890</v>
      </c>
      <c r="U58" t="str">
        <f t="shared" si="2"/>
        <v>ENOV06</v>
      </c>
    </row>
    <row r="59" spans="1:21">
      <c r="O59" t="s">
        <v>188</v>
      </c>
      <c r="P59" s="4">
        <v>24</v>
      </c>
      <c r="Q59">
        <v>951</v>
      </c>
      <c r="R59">
        <v>951</v>
      </c>
      <c r="S59">
        <v>1131</v>
      </c>
      <c r="T59">
        <v>890</v>
      </c>
      <c r="U59" t="str">
        <f t="shared" si="2"/>
        <v>ENOV24</v>
      </c>
    </row>
    <row r="60" spans="1:21">
      <c r="O60" t="s">
        <v>168</v>
      </c>
      <c r="P60" s="4" t="s">
        <v>135</v>
      </c>
      <c r="Q60">
        <v>891</v>
      </c>
      <c r="R60">
        <v>891</v>
      </c>
      <c r="S60">
        <v>891</v>
      </c>
      <c r="T60">
        <v>830</v>
      </c>
      <c r="U60" t="str">
        <f t="shared" si="2"/>
        <v>ENRM04</v>
      </c>
    </row>
    <row r="61" spans="1:21">
      <c r="O61" t="s">
        <v>168</v>
      </c>
      <c r="P61" s="4">
        <v>22</v>
      </c>
      <c r="Q61">
        <v>891</v>
      </c>
      <c r="R61">
        <v>891</v>
      </c>
      <c r="S61">
        <v>891</v>
      </c>
      <c r="T61">
        <v>830</v>
      </c>
      <c r="U61" t="str">
        <f t="shared" si="2"/>
        <v>ENRM22</v>
      </c>
    </row>
    <row r="62" spans="1:21">
      <c r="O62" t="s">
        <v>167</v>
      </c>
      <c r="P62" s="4">
        <v>13</v>
      </c>
      <c r="Q62">
        <v>1640</v>
      </c>
      <c r="R62">
        <v>1640</v>
      </c>
      <c r="S62">
        <v>1720</v>
      </c>
      <c r="T62">
        <v>1580</v>
      </c>
      <c r="U62" t="str">
        <f t="shared" si="2"/>
        <v>ENRO13</v>
      </c>
    </row>
    <row r="63" spans="1:21">
      <c r="O63" t="s">
        <v>167</v>
      </c>
      <c r="P63" s="4">
        <v>31</v>
      </c>
      <c r="Q63">
        <v>1580</v>
      </c>
      <c r="R63">
        <v>1580</v>
      </c>
      <c r="S63">
        <v>1580</v>
      </c>
      <c r="T63">
        <v>1580</v>
      </c>
      <c r="U63" t="str">
        <f t="shared" si="2"/>
        <v>ENRO31</v>
      </c>
    </row>
    <row r="64" spans="1:21">
      <c r="O64" t="s">
        <v>169</v>
      </c>
      <c r="P64" s="4" t="s">
        <v>151</v>
      </c>
      <c r="Q64">
        <v>870</v>
      </c>
      <c r="R64">
        <v>870</v>
      </c>
      <c r="S64">
        <v>1030</v>
      </c>
      <c r="T64">
        <v>830</v>
      </c>
      <c r="U64" t="str">
        <f t="shared" si="2"/>
        <v>ENRS02</v>
      </c>
    </row>
    <row r="65" spans="15:21">
      <c r="O65" t="s">
        <v>169</v>
      </c>
      <c r="P65" s="4">
        <v>20</v>
      </c>
      <c r="Q65">
        <v>871</v>
      </c>
      <c r="R65">
        <v>871</v>
      </c>
      <c r="S65">
        <v>1031</v>
      </c>
      <c r="T65">
        <v>830</v>
      </c>
      <c r="U65" t="str">
        <f t="shared" si="2"/>
        <v>ENRS20</v>
      </c>
    </row>
    <row r="66" spans="15:21">
      <c r="O66" t="s">
        <v>166</v>
      </c>
      <c r="P66" s="4">
        <v>12</v>
      </c>
      <c r="Q66">
        <v>2716</v>
      </c>
      <c r="R66">
        <v>2716</v>
      </c>
      <c r="S66">
        <v>2962</v>
      </c>
      <c r="T66">
        <v>2443</v>
      </c>
      <c r="U66" t="str">
        <f t="shared" si="2"/>
        <v>ENRY12</v>
      </c>
    </row>
    <row r="67" spans="15:21">
      <c r="O67" t="s">
        <v>166</v>
      </c>
      <c r="P67" s="4">
        <v>30</v>
      </c>
      <c r="Q67">
        <v>2716</v>
      </c>
      <c r="R67">
        <v>2716</v>
      </c>
      <c r="S67">
        <v>2776</v>
      </c>
      <c r="T67">
        <v>2443</v>
      </c>
      <c r="U67" t="str">
        <f t="shared" si="2"/>
        <v>ENRY30</v>
      </c>
    </row>
    <row r="68" spans="15:21">
      <c r="O68" t="s">
        <v>179</v>
      </c>
      <c r="P68" s="4" t="s">
        <v>180</v>
      </c>
      <c r="Q68">
        <v>2207</v>
      </c>
      <c r="R68">
        <v>2207</v>
      </c>
      <c r="S68">
        <v>2507</v>
      </c>
      <c r="T68">
        <v>1988</v>
      </c>
      <c r="U68" t="str">
        <f t="shared" ref="U68:U97" si="5">TRIM(O68) &amp; TRIM(P68)</f>
        <v>ENSB09</v>
      </c>
    </row>
    <row r="69" spans="15:21">
      <c r="O69" t="s">
        <v>179</v>
      </c>
      <c r="P69" s="4">
        <v>27</v>
      </c>
      <c r="Q69">
        <v>2258</v>
      </c>
      <c r="R69">
        <v>2258</v>
      </c>
      <c r="S69">
        <v>2558</v>
      </c>
      <c r="T69">
        <v>2138</v>
      </c>
      <c r="U69" t="str">
        <f t="shared" si="5"/>
        <v>ENSB27</v>
      </c>
    </row>
    <row r="70" spans="15:21">
      <c r="O70" t="s">
        <v>170</v>
      </c>
      <c r="P70" s="4" t="s">
        <v>141</v>
      </c>
      <c r="Q70">
        <v>820</v>
      </c>
      <c r="R70">
        <v>820</v>
      </c>
      <c r="S70">
        <v>1013</v>
      </c>
      <c r="T70">
        <v>760</v>
      </c>
      <c r="U70" t="str">
        <f t="shared" si="5"/>
        <v>ENSD08</v>
      </c>
    </row>
    <row r="71" spans="15:21">
      <c r="O71" t="s">
        <v>170</v>
      </c>
      <c r="P71" s="4">
        <v>26</v>
      </c>
      <c r="Q71">
        <v>820</v>
      </c>
      <c r="R71">
        <v>820</v>
      </c>
      <c r="S71">
        <v>948</v>
      </c>
      <c r="T71">
        <v>760</v>
      </c>
      <c r="U71" t="str">
        <f t="shared" si="5"/>
        <v>ENSD26</v>
      </c>
    </row>
    <row r="72" spans="15:21">
      <c r="O72" t="s">
        <v>174</v>
      </c>
      <c r="P72" s="4" t="s">
        <v>127</v>
      </c>
      <c r="Q72">
        <v>930</v>
      </c>
      <c r="R72">
        <v>930</v>
      </c>
      <c r="S72">
        <v>1110</v>
      </c>
      <c r="T72">
        <v>870</v>
      </c>
      <c r="U72" t="str">
        <f t="shared" si="5"/>
        <v>ENSG06</v>
      </c>
    </row>
    <row r="73" spans="15:21">
      <c r="O73" t="s">
        <v>174</v>
      </c>
      <c r="P73" s="4">
        <v>24</v>
      </c>
      <c r="Q73">
        <v>1001</v>
      </c>
      <c r="R73">
        <v>1001</v>
      </c>
      <c r="S73">
        <v>1224</v>
      </c>
      <c r="T73">
        <v>871</v>
      </c>
      <c r="U73" t="str">
        <f t="shared" si="5"/>
        <v>ENSG24</v>
      </c>
    </row>
    <row r="74" spans="15:21">
      <c r="O74" t="s">
        <v>181</v>
      </c>
      <c r="P74" s="4">
        <v>36</v>
      </c>
      <c r="Q74">
        <v>878</v>
      </c>
      <c r="R74">
        <v>878</v>
      </c>
      <c r="S74">
        <v>1018</v>
      </c>
      <c r="T74">
        <v>807</v>
      </c>
      <c r="U74" t="str">
        <f t="shared" si="5"/>
        <v>ENSH36</v>
      </c>
    </row>
    <row r="75" spans="15:21">
      <c r="O75" t="s">
        <v>181</v>
      </c>
      <c r="P75" s="4">
        <v>18</v>
      </c>
      <c r="Q75">
        <v>847</v>
      </c>
      <c r="R75">
        <v>847</v>
      </c>
      <c r="S75">
        <v>948</v>
      </c>
      <c r="T75">
        <v>776</v>
      </c>
      <c r="U75" t="str">
        <f t="shared" si="5"/>
        <v>ENSH18</v>
      </c>
    </row>
    <row r="76" spans="15:21">
      <c r="O76" t="s">
        <v>177</v>
      </c>
      <c r="P76" s="4" t="s">
        <v>141</v>
      </c>
      <c r="Q76">
        <v>889</v>
      </c>
      <c r="R76">
        <v>889</v>
      </c>
      <c r="S76">
        <v>889</v>
      </c>
      <c r="T76">
        <v>829</v>
      </c>
      <c r="U76" t="str">
        <f t="shared" si="5"/>
        <v>ENSK08</v>
      </c>
    </row>
    <row r="77" spans="15:21">
      <c r="O77" t="s">
        <v>177</v>
      </c>
      <c r="P77" s="4">
        <v>26</v>
      </c>
      <c r="Q77">
        <v>833</v>
      </c>
      <c r="R77">
        <v>833</v>
      </c>
      <c r="S77">
        <v>833</v>
      </c>
      <c r="T77">
        <v>798</v>
      </c>
      <c r="U77" t="str">
        <f t="shared" si="5"/>
        <v>ENSK26</v>
      </c>
    </row>
    <row r="78" spans="15:21">
      <c r="O78" t="s">
        <v>178</v>
      </c>
      <c r="P78" s="4">
        <v>14</v>
      </c>
      <c r="Q78">
        <v>1199</v>
      </c>
      <c r="R78">
        <v>1199</v>
      </c>
      <c r="S78">
        <v>1798</v>
      </c>
      <c r="T78">
        <v>1199</v>
      </c>
      <c r="U78" t="str">
        <f t="shared" si="5"/>
        <v>ENSO14</v>
      </c>
    </row>
    <row r="79" spans="15:21">
      <c r="O79" t="s">
        <v>178</v>
      </c>
      <c r="P79" s="4">
        <v>32</v>
      </c>
      <c r="Q79">
        <v>1199</v>
      </c>
      <c r="R79">
        <v>1199</v>
      </c>
      <c r="S79">
        <v>1798</v>
      </c>
      <c r="T79">
        <v>1199</v>
      </c>
      <c r="U79" t="str">
        <f t="shared" si="5"/>
        <v>ENSO32</v>
      </c>
    </row>
    <row r="80" spans="15:21">
      <c r="O80" t="s">
        <v>182</v>
      </c>
      <c r="P80" s="4">
        <v>14</v>
      </c>
      <c r="Q80">
        <v>861</v>
      </c>
      <c r="R80">
        <v>861</v>
      </c>
      <c r="S80">
        <v>861</v>
      </c>
      <c r="T80">
        <v>799</v>
      </c>
      <c r="U80" t="str">
        <f t="shared" si="5"/>
        <v>ENSR14</v>
      </c>
    </row>
    <row r="81" spans="15:21">
      <c r="O81" t="s">
        <v>182</v>
      </c>
      <c r="P81" s="4">
        <v>32</v>
      </c>
      <c r="Q81">
        <v>862</v>
      </c>
      <c r="R81">
        <v>862</v>
      </c>
      <c r="S81">
        <v>862</v>
      </c>
      <c r="T81">
        <v>799</v>
      </c>
      <c r="U81" t="str">
        <f t="shared" si="5"/>
        <v>ENSR32</v>
      </c>
    </row>
    <row r="82" spans="15:21">
      <c r="O82" t="s">
        <v>186</v>
      </c>
      <c r="P82" s="4">
        <v>15</v>
      </c>
      <c r="Q82">
        <v>966</v>
      </c>
      <c r="R82">
        <v>966</v>
      </c>
      <c r="S82">
        <v>1146</v>
      </c>
      <c r="T82">
        <v>905</v>
      </c>
      <c r="U82" t="str">
        <f t="shared" si="5"/>
        <v>ENSS15</v>
      </c>
    </row>
    <row r="83" spans="15:21">
      <c r="O83" t="s">
        <v>186</v>
      </c>
      <c r="P83" s="4">
        <v>33</v>
      </c>
      <c r="Q83">
        <v>966</v>
      </c>
      <c r="R83">
        <v>966</v>
      </c>
      <c r="S83">
        <v>1154</v>
      </c>
      <c r="T83">
        <v>905</v>
      </c>
      <c r="U83" t="str">
        <f t="shared" si="5"/>
        <v>ENSS33</v>
      </c>
    </row>
    <row r="84" spans="15:21">
      <c r="O84" t="s">
        <v>173</v>
      </c>
      <c r="P84" s="4" t="s">
        <v>151</v>
      </c>
      <c r="Q84">
        <v>1199</v>
      </c>
      <c r="R84">
        <v>1199</v>
      </c>
      <c r="S84">
        <v>1414</v>
      </c>
      <c r="T84">
        <v>1199</v>
      </c>
      <c r="U84" t="str">
        <f t="shared" si="5"/>
        <v>ENST02</v>
      </c>
    </row>
    <row r="85" spans="15:21">
      <c r="O85" t="s">
        <v>173</v>
      </c>
      <c r="P85" s="4">
        <v>20</v>
      </c>
      <c r="Q85">
        <v>1199</v>
      </c>
      <c r="R85">
        <v>1199</v>
      </c>
      <c r="S85">
        <v>1516</v>
      </c>
      <c r="T85">
        <v>1199</v>
      </c>
      <c r="U85" t="str">
        <f t="shared" si="5"/>
        <v>ENST20</v>
      </c>
    </row>
    <row r="86" spans="15:21">
      <c r="O86" t="s">
        <v>183</v>
      </c>
      <c r="P86" s="4">
        <v>18</v>
      </c>
      <c r="Q86">
        <v>2395</v>
      </c>
      <c r="R86">
        <v>2395</v>
      </c>
      <c r="S86">
        <v>2695</v>
      </c>
      <c r="T86">
        <v>2004</v>
      </c>
      <c r="U86" t="str">
        <f t="shared" si="5"/>
        <v>ENTC18</v>
      </c>
    </row>
    <row r="87" spans="15:21">
      <c r="O87" t="s">
        <v>183</v>
      </c>
      <c r="P87" s="4">
        <v>36</v>
      </c>
      <c r="Q87">
        <v>2451</v>
      </c>
      <c r="R87">
        <v>2451</v>
      </c>
      <c r="S87">
        <v>2621</v>
      </c>
      <c r="T87">
        <v>2395</v>
      </c>
      <c r="U87" t="str">
        <f t="shared" si="5"/>
        <v>ENTC36</v>
      </c>
    </row>
    <row r="88" spans="15:21">
      <c r="O88" t="s">
        <v>171</v>
      </c>
      <c r="P88" s="4">
        <v>18</v>
      </c>
      <c r="Q88">
        <v>2589</v>
      </c>
      <c r="R88">
        <v>2589</v>
      </c>
      <c r="S88">
        <v>2859</v>
      </c>
      <c r="T88">
        <v>2449</v>
      </c>
      <c r="U88" t="str">
        <f t="shared" si="5"/>
        <v>ENTO18</v>
      </c>
    </row>
    <row r="89" spans="15:21">
      <c r="O89" t="s">
        <v>171</v>
      </c>
      <c r="P89" s="4">
        <v>36</v>
      </c>
      <c r="Q89">
        <v>2669</v>
      </c>
      <c r="R89">
        <v>2669</v>
      </c>
      <c r="S89">
        <v>2939</v>
      </c>
      <c r="T89">
        <v>2449</v>
      </c>
      <c r="U89" t="str">
        <f t="shared" si="5"/>
        <v>ENTO36</v>
      </c>
    </row>
    <row r="90" spans="15:21">
      <c r="O90" t="s">
        <v>184</v>
      </c>
      <c r="P90" s="4" t="s">
        <v>180</v>
      </c>
      <c r="Q90">
        <v>2694</v>
      </c>
      <c r="R90">
        <v>2694</v>
      </c>
      <c r="S90">
        <v>3054</v>
      </c>
      <c r="T90">
        <v>2447</v>
      </c>
      <c r="U90" t="str">
        <f t="shared" si="5"/>
        <v>ENVA09</v>
      </c>
    </row>
    <row r="91" spans="15:21">
      <c r="O91" t="s">
        <v>184</v>
      </c>
      <c r="P91" s="4">
        <v>27</v>
      </c>
      <c r="Q91">
        <v>2701</v>
      </c>
      <c r="R91">
        <v>2701</v>
      </c>
      <c r="S91">
        <v>3001</v>
      </c>
      <c r="T91">
        <v>2469</v>
      </c>
      <c r="U91" t="str">
        <f t="shared" si="5"/>
        <v>ENVA27</v>
      </c>
    </row>
    <row r="92" spans="15:21">
      <c r="O92" t="s">
        <v>185</v>
      </c>
      <c r="P92" s="4" t="s">
        <v>129</v>
      </c>
      <c r="Q92">
        <v>871</v>
      </c>
      <c r="R92">
        <v>871</v>
      </c>
      <c r="S92">
        <v>1051</v>
      </c>
      <c r="T92">
        <v>830</v>
      </c>
      <c r="U92" t="str">
        <f t="shared" si="5"/>
        <v>ENVD07</v>
      </c>
    </row>
    <row r="93" spans="15:21">
      <c r="O93" t="s">
        <v>185</v>
      </c>
      <c r="P93" s="4">
        <v>25</v>
      </c>
      <c r="Q93">
        <v>871</v>
      </c>
      <c r="R93">
        <v>871</v>
      </c>
      <c r="S93">
        <v>1051</v>
      </c>
      <c r="T93">
        <v>830</v>
      </c>
      <c r="U93" t="str">
        <f t="shared" si="5"/>
        <v>ENVD25</v>
      </c>
    </row>
    <row r="94" spans="15:21">
      <c r="O94" t="s">
        <v>175</v>
      </c>
      <c r="P94" s="4">
        <v>10</v>
      </c>
      <c r="Q94">
        <v>2299</v>
      </c>
      <c r="R94">
        <v>2299</v>
      </c>
      <c r="S94">
        <v>2449</v>
      </c>
      <c r="T94">
        <v>2199</v>
      </c>
      <c r="U94" t="str">
        <f t="shared" si="5"/>
        <v>ENZV10</v>
      </c>
    </row>
    <row r="95" spans="15:21">
      <c r="O95" t="s">
        <v>175</v>
      </c>
      <c r="P95" s="4">
        <v>28</v>
      </c>
      <c r="Q95">
        <v>2202</v>
      </c>
      <c r="R95">
        <v>2202</v>
      </c>
      <c r="S95">
        <v>2502</v>
      </c>
      <c r="T95">
        <v>2049</v>
      </c>
      <c r="U95" t="str">
        <f t="shared" si="5"/>
        <v>ENZV28</v>
      </c>
    </row>
    <row r="96" spans="15:21">
      <c r="O96" t="s">
        <v>175</v>
      </c>
      <c r="P96" s="4">
        <v>18</v>
      </c>
      <c r="Q96">
        <v>2556</v>
      </c>
      <c r="R96">
        <v>2556</v>
      </c>
      <c r="S96">
        <v>2826</v>
      </c>
      <c r="T96">
        <v>2496</v>
      </c>
      <c r="U96" t="str">
        <f t="shared" si="5"/>
        <v>ENZV18</v>
      </c>
    </row>
    <row r="97" spans="15:21">
      <c r="O97" t="s">
        <v>175</v>
      </c>
      <c r="P97" s="4">
        <v>36</v>
      </c>
      <c r="Q97">
        <v>2555</v>
      </c>
      <c r="R97">
        <v>2555</v>
      </c>
      <c r="S97">
        <v>2855</v>
      </c>
      <c r="T97">
        <v>2406</v>
      </c>
      <c r="U97" t="str">
        <f t="shared" si="5"/>
        <v>ENZV36</v>
      </c>
    </row>
    <row r="98" spans="15:21">
      <c r="O98" t="s">
        <v>150</v>
      </c>
      <c r="P98" s="4" t="s">
        <v>151</v>
      </c>
      <c r="Q98">
        <v>891</v>
      </c>
      <c r="R98">
        <v>891</v>
      </c>
      <c r="S98">
        <v>1071</v>
      </c>
      <c r="T98">
        <v>830</v>
      </c>
      <c r="U98" t="s">
        <v>206</v>
      </c>
    </row>
    <row r="99" spans="15:21">
      <c r="O99" t="s">
        <v>150</v>
      </c>
      <c r="P99" s="4" t="s">
        <v>205</v>
      </c>
      <c r="Q99">
        <v>891</v>
      </c>
      <c r="R99">
        <v>891</v>
      </c>
      <c r="S99">
        <v>1071</v>
      </c>
      <c r="T99">
        <v>830</v>
      </c>
      <c r="U99" t="s">
        <v>207</v>
      </c>
    </row>
  </sheetData>
  <phoneticPr fontId="5" type="noConversion"/>
  <pageMargins left="0.7" right="0.7" top="0.75" bottom="0.75" header="0.3" footer="0.3"/>
  <ignoredErrors>
    <ignoredError sqref="C3:C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71930-0278-E248-A68A-D36E08334450}">
  <dimension ref="A2:D7"/>
  <sheetViews>
    <sheetView zoomScale="77" zoomScaleNormal="150" zoomScaleSheetLayoutView="100" workbookViewId="0">
      <selection activeCell="C9" sqref="C9"/>
    </sheetView>
  </sheetViews>
  <sheetFormatPr defaultColWidth="9" defaultRowHeight="14.25"/>
  <cols>
    <col min="1" max="1" width="14.1328125" customWidth="1"/>
    <col min="2" max="3" width="16.265625" customWidth="1"/>
  </cols>
  <sheetData>
    <row r="2" spans="1:4">
      <c r="A2" t="s">
        <v>95</v>
      </c>
      <c r="B2" t="s">
        <v>96</v>
      </c>
      <c r="C2" t="s">
        <v>97</v>
      </c>
      <c r="D2" t="s">
        <v>98</v>
      </c>
    </row>
    <row r="3" spans="1:4">
      <c r="A3" t="s">
        <v>99</v>
      </c>
      <c r="B3">
        <v>1993.6</v>
      </c>
      <c r="C3">
        <v>75870.2</v>
      </c>
    </row>
    <row r="4" spans="1:4">
      <c r="A4" t="s">
        <v>2</v>
      </c>
      <c r="B4">
        <v>2020.3</v>
      </c>
      <c r="C4">
        <v>78756.2</v>
      </c>
    </row>
    <row r="5" spans="1:4">
      <c r="A5" t="s">
        <v>100</v>
      </c>
      <c r="B5">
        <v>2031.1</v>
      </c>
      <c r="C5">
        <v>77121.600000000006</v>
      </c>
    </row>
    <row r="6" spans="1:4">
      <c r="A6" t="s">
        <v>101</v>
      </c>
      <c r="B6">
        <v>2024.5</v>
      </c>
      <c r="C6">
        <v>76587.7</v>
      </c>
    </row>
    <row r="7" spans="1:4">
      <c r="A7" t="s">
        <v>102</v>
      </c>
      <c r="B7">
        <v>2038.5</v>
      </c>
      <c r="C7">
        <v>78989.100000000006</v>
      </c>
      <c r="D7">
        <v>22.7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BFE6B77FD9084EBC977CABABCD530B" ma:contentTypeVersion="5" ma:contentTypeDescription="Create a new document." ma:contentTypeScope="" ma:versionID="424a45a8f7a2b955f83916a98a804403">
  <xsd:schema xmlns:xsd="http://www.w3.org/2001/XMLSchema" xmlns:xs="http://www.w3.org/2001/XMLSchema" xmlns:p="http://schemas.microsoft.com/office/2006/metadata/properties" xmlns:ns3="03726d02-bb69-4c21-96aa-874e47261319" targetNamespace="http://schemas.microsoft.com/office/2006/metadata/properties" ma:root="true" ma:fieldsID="0d9c029738635f3070d2498f245ef21b" ns3:_="">
    <xsd:import namespace="03726d02-bb69-4c21-96aa-874e4726131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26d02-bb69-4c21-96aa-874e4726131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3726d02-bb69-4c21-96aa-874e4726131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29A674-51CD-4B1A-ABC5-F55EFFA43EC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03726d02-bb69-4c21-96aa-874e47261319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EDF181-C0E2-4EE0-BE05-4FD47771BA85}">
  <ds:schemaRefs>
    <ds:schemaRef ds:uri="http://purl.org/dc/terms/"/>
    <ds:schemaRef ds:uri="http://purl.org/dc/dcmitype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03726d02-bb69-4c21-96aa-874e47261319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6FAA044-8D52-475E-8818-C78108A43F2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OFP</vt:lpstr>
      <vt:lpstr>Performance</vt:lpstr>
      <vt:lpstr>NavData</vt:lpstr>
      <vt:lpstr>AC REG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Ole Markus Rockstad</dc:creator>
  <cp:keywords/>
  <dc:description/>
  <cp:lastModifiedBy>Ole Markus Rockstad</cp:lastModifiedBy>
  <cp:revision/>
  <cp:lastPrinted>2026-09-28T15:11:56Z</cp:lastPrinted>
  <dcterms:created xsi:type="dcterms:W3CDTF">2026-05-25T09:08:26Z</dcterms:created>
  <dcterms:modified xsi:type="dcterms:W3CDTF">2026-09-28T15:12:28Z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0x010100DDBFE6B77FD9084EBC977CABABCD530B</vt:lpwstr>
  </property>
</Properties>
</file>